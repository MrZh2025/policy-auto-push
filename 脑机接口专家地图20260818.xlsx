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四川生物医药产业集团\创新事业部\行业研究\2026\脑机接口\投资地图\"/>
    </mc:Choice>
  </mc:AlternateContent>
  <bookViews>
    <workbookView windowWidth="24750" windowHeight="12080" activeTab="2"/>
  </bookViews>
  <sheets>
    <sheet name="口径说明" sheetId="1" r:id="rId1"/>
    <sheet name="省份索引" sheetId="2" r:id="rId2"/>
    <sheet name="全国汇总" sheetId="3" r:id="rId3"/>
    <sheet name="北京市" sheetId="4" r:id="rId4"/>
    <sheet name="天津市" sheetId="5" r:id="rId5"/>
    <sheet name="河北省" sheetId="6" r:id="rId6"/>
    <sheet name="辽宁省" sheetId="7" r:id="rId7"/>
    <sheet name="黑龙江省" sheetId="8" r:id="rId8"/>
    <sheet name="上海市" sheetId="9" r:id="rId9"/>
    <sheet name="江苏省" sheetId="10" r:id="rId10"/>
    <sheet name="浙江省" sheetId="11" r:id="rId11"/>
    <sheet name="安徽省" sheetId="12" r:id="rId12"/>
    <sheet name="山东省" sheetId="13" r:id="rId13"/>
    <sheet name="河南省" sheetId="14" r:id="rId14"/>
    <sheet name="湖北省" sheetId="15" r:id="rId15"/>
    <sheet name="湖南省" sheetId="16" r:id="rId16"/>
    <sheet name="广东省" sheetId="17" r:id="rId17"/>
    <sheet name="海南省" sheetId="18" r:id="rId18"/>
    <sheet name="重庆市" sheetId="19" r:id="rId19"/>
    <sheet name="四川省" sheetId="20" r:id="rId20"/>
    <sheet name="云南省" sheetId="21" r:id="rId21"/>
    <sheet name="陕西省" sheetId="22" r:id="rId22"/>
    <sheet name="香港特别行政区" sheetId="23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<sst xmlns="http://schemas.openxmlformats.org/spreadsheetml/2006/main" count="1622" uniqueCount="409">
  <si>
    <t>全国脑机接口专家投资地图—口径说明</t>
  </si>
  <si>
    <t>核验日期</t>
  </si>
  <si>
    <t>收录总数</t>
  </si>
  <si>
    <t>地域口径</t>
  </si>
  <si>
    <t>按专家当前主要工作单位所在省级行政区归属；跨地区兼职不重复计数。</t>
  </si>
  <si>
    <t>收录标准</t>
  </si>
  <si>
    <t>以工信部首届脑机接口标准化技术委员会委员为权威底表，并补充研究方向明确、持续发表脑机接口/神经工程成果或承担临床转化的国内高校、医院和企业专家。</t>
  </si>
  <si>
    <t>代表论文</t>
  </si>
  <si>
    <t>优先通过Crossref DOI数据按姓名和脑机接口关键词匹配；无法稳定匹配或专家以产业/监管实践为主时，明确标注“待进一步人工核验”，不杜撰论文。</t>
  </si>
  <si>
    <t>关联企业</t>
  </si>
  <si>
    <t>仅记录公开任职、创办、成果转化或长期产学研协同关系；未找到稳定证据时写“无公开直接关联企业”。</t>
  </si>
  <si>
    <t>完整性边界</t>
  </si>
  <si>
    <t>行业专家没有统一法定名录。本表是公开可核验的行业核心专家池，不等同于穷尽所有研究人员；职务与单位可能变动，建议季度更新。</t>
  </si>
  <si>
    <t>主要公开来源类型：政府/监管机构、大学/医院/实验室官网、企业官网、招股书/年报、主流财经媒体与行业研究报告。每条记录的URL见“公开来源”列。</t>
  </si>
  <si>
    <t>省级行政区</t>
  </si>
  <si>
    <t>专家数量</t>
  </si>
  <si>
    <t>覆盖状态</t>
  </si>
  <si>
    <t>备注</t>
  </si>
  <si>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</si>
  <si>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</si>
  <si>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</si>
  <si>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</si>
  <si>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</si>
  <si>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</si>
  <si>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</si>
  <si>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</si>
  <si>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</si>
  <si>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</si>
  <si>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</si>
  <si>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</si>
  <si>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</si>
  <si>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</si>
  <si>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</si>
  <si>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</si>
  <si>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</si>
  <si>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</si>
  <si>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</si>
  <si>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</si>
  <si>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</si>
  <si>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</si>
  <si>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</si>
  <si>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</si>
  <si>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</si>
  <si>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</si>
  <si>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</si>
  <si>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</si>
  <si>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</si>
  <si>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</si>
  <si>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</si>
  <si>
    <t>香港特别行政区</t>
  </si>
  <si>
    <t>澳门特别行政区</t>
  </si>
  <si>
    <t>台湾省</t>
  </si>
  <si>
    <t>序号</t>
  </si>
  <si>
    <t>专家姓名</t>
  </si>
  <si>
    <t>专家所属方向</t>
  </si>
  <si>
    <t>工作单位</t>
  </si>
  <si>
    <t>所属省份</t>
  </si>
  <si>
    <t>专家类型</t>
  </si>
  <si>
    <t>公开来源</t>
  </si>
  <si>
    <t>敖立</t>
  </si>
  <si>
    <t>脑机接口产业、通信与标准化</t>
  </si>
  <si>
    <t>以产业、标准化或监管实践为主；未检索到可稳定匹配的代表论文</t>
  </si>
  <si>
    <t>无公开直接关联企业</t>
  </si>
  <si>
    <t>中国信息通信研究院</t>
  </si>
  <si>
    <t>产业/标准化</t>
  </si>
  <si>
    <t>https://wap.miit.gov.cn/cms_files/filemanager/1226211233/attach/20256/65ade62451fe4eb09e40e5576208b989.docx</t>
  </si>
  <si>
    <t>董建</t>
  </si>
  <si>
    <t>脑机接口标准化与产业治理</t>
  </si>
  <si>
    <t>中国电子技术标准化研究院</t>
  </si>
  <si>
    <t>标准化</t>
  </si>
  <si>
    <t>高上凯</t>
  </si>
  <si>
    <t>神经工程与脑机接口</t>
  </si>
  <si>
    <t>An online multi-channel SSVEP-based brain–computer interface using a canonical correlation analysis method (2009)</t>
  </si>
  <si>
    <t>博睿康、神舞科技（学术渊源）</t>
  </si>
  <si>
    <t>清华大学医学院</t>
  </si>
  <si>
    <t>学术</t>
  </si>
  <si>
    <t>https://ziyujia.github.io/Chinese-Reading-Materials/Materials/experts/
https://doi.org/10.1088/1741-2560/6/4/046002</t>
  </si>
  <si>
    <t>高小榕</t>
  </si>
  <si>
    <t>脑机接口、SSVEP与神经信号检测处理</t>
  </si>
  <si>
    <t>北京神舞科技有限公司；博睿康（学术渊源）</t>
  </si>
  <si>
    <t>清华大学</t>
  </si>
  <si>
    <t>学术/产业</t>
  </si>
  <si>
    <t>https://wap.miit.gov.cn/cms_files/filemanager/1226211233/attach/20256/65ade62451fe4eb09e40e5576208b989.docx
https://doi.org/10.1088/1741-2560/6/4/046002</t>
  </si>
  <si>
    <t>郝红伟</t>
  </si>
  <si>
    <t>植入式神经调控与医疗器械产业化</t>
  </si>
  <si>
    <t>北京品驰医疗设备有限公司</t>
  </si>
  <si>
    <t>产业</t>
  </si>
  <si>
    <t>何晖光</t>
  </si>
  <si>
    <t>模式识别、脑与认知科学、脑机接口</t>
  </si>
  <si>
    <t>待进一步人工核验代表论文</t>
  </si>
  <si>
    <t>中科意象等院所成果转化团队</t>
  </si>
  <si>
    <t>中国科学院自动化研究所</t>
  </si>
  <si>
    <t>https://ziyujia.github.io/Chinese-Reading-Materials/Materials/experts/</t>
  </si>
  <si>
    <t>洪波</t>
  </si>
  <si>
    <t>语言神经机制、颅内脑电与微创脑机接口</t>
  </si>
  <si>
    <t>博睿康（联合研发协同）</t>
  </si>
  <si>
    <t>https://brain.tsinghua.edu.cn/td/yjry.htm</t>
  </si>
  <si>
    <t>金若男</t>
  </si>
  <si>
    <t>脑机接口医疗器械审评与监管科学</t>
  </si>
  <si>
    <t>国家药品监督管理局医疗器械技术审评中心</t>
  </si>
  <si>
    <t>监管</t>
  </si>
  <si>
    <t>李淑娟</t>
  </si>
  <si>
    <t>临床电生理、神经心脏交叉与医疗器械评价</t>
  </si>
  <si>
    <t>中国医学科学院阜外医院</t>
  </si>
  <si>
    <t>临床</t>
  </si>
  <si>
    <t>李小俚</t>
  </si>
  <si>
    <t>神经系统分析、脑电信号与闭环刺激</t>
  </si>
  <si>
    <t>Closed-loop TMS-EEG reactivity with occipital alpha-phase synchronized (2022)</t>
  </si>
  <si>
    <t>北京师范大学</t>
  </si>
  <si>
    <t>https://ziyujia.github.io/Chinese-Reading-Materials/Materials/experts/
https://doi.org/10.1088/1741-2552/ac9432</t>
  </si>
  <si>
    <t>李阳</t>
  </si>
  <si>
    <t>计算神经科学、脑机接口与神经康复</t>
  </si>
  <si>
    <t>Improving the Separability of Motor Imagery EEG Signals Using a Cross Correlation-Based Least Square Support Vector Machine for Brain–Computer Interface (2012)</t>
  </si>
  <si>
    <t>北京航空航天大学</t>
  </si>
  <si>
    <t>https://ziyujia.github.io/Chinese-Reading-Materials/Materials/experts/
https://doi.org/10.1109/tnsre.2012.2184838</t>
  </si>
  <si>
    <t>梁靓</t>
  </si>
  <si>
    <t>脑机接口产业生态与学术组织</t>
  </si>
  <si>
    <t>中国电子学会</t>
  </si>
  <si>
    <t>林楠</t>
  </si>
  <si>
    <t>临床神经科学与脑机接口评价</t>
  </si>
  <si>
    <t>中国医学科学院北京协和医院</t>
  </si>
  <si>
    <t>刘丕楠</t>
  </si>
  <si>
    <t>神经外科、脑机接口临床转化</t>
  </si>
  <si>
    <t>首都医科大学附属北京天坛医院</t>
  </si>
  <si>
    <t>刘贤刚</t>
  </si>
  <si>
    <t>脑机接口标准体系与检测评价</t>
  </si>
  <si>
    <t>北京赛西科技发展有限责任公司（体系关联）</t>
  </si>
  <si>
    <t>吕柄江</t>
  </si>
  <si>
    <t>脑科学与脑机接口战略研究</t>
  </si>
  <si>
    <t>昌平国家实验室</t>
  </si>
  <si>
    <t>学术/战略</t>
  </si>
  <si>
    <t>罗敏敏</t>
  </si>
  <si>
    <t>神经环路、脑机接口与脑科学</t>
  </si>
  <si>
    <t>An optical brain-to-brain interface supports rapid information transmission for precise locomotion control (2020)</t>
  </si>
  <si>
    <t>北京脑科学与类脑研究所</t>
  </si>
  <si>
    <t>https://wap.miit.gov.cn/cms_files/filemanager/1226211233/attach/20256/65ade62451fe4eb09e40e5576208b989.docx
https://doi.org/10.1007/s11427-020-1675-x</t>
  </si>
  <si>
    <t>王宁</t>
  </si>
  <si>
    <t>精神健康、脑机接口应用与公共卫生</t>
  </si>
  <si>
    <t>国家心理健康和精神卫生防治中心</t>
  </si>
  <si>
    <t>临床/政策</t>
  </si>
  <si>
    <t>王毅军</t>
  </si>
  <si>
    <t>SSVEP脑机接口与移动式脑成像</t>
  </si>
  <si>
    <t>A practical VEP-based brain-computer interface (2006)</t>
  </si>
  <si>
    <t>江苏集萃脑科技（院所协同）</t>
  </si>
  <si>
    <t>中国科学院半导体研究所</t>
  </si>
  <si>
    <t>https://ziyujia.github.io/Chinese-Reading-Materials/Materials/experts/
https://doi.org/10.1109/tnsre.2006.875576</t>
  </si>
  <si>
    <t>王泽华</t>
  </si>
  <si>
    <t>魏鹏虎</t>
  </si>
  <si>
    <t>神经外科、脑机接口与临床神经调控</t>
  </si>
  <si>
    <t>首都医科大学宣武医院</t>
  </si>
  <si>
    <t>邬霞</t>
  </si>
  <si>
    <t>脑电信号处理、人工智能与脑科学</t>
  </si>
  <si>
    <t>Low-cost circuit design of EEG signal acquisition for the brain-computer interface system (2013)</t>
  </si>
  <si>
    <t>北京理工大学</t>
  </si>
  <si>
    <t>https://wap.miit.gov.cn/cms_files/filemanager/1226211233/attach/20256/65ade62451fe4eb09e40e5576208b989.docx
https://doi.org/10.1109/bmei.2013.6746942</t>
  </si>
  <si>
    <t>吴朝晖</t>
  </si>
  <si>
    <t>人工智能、脑机接口产业与科技战略</t>
  </si>
  <si>
    <t>中国科学院</t>
  </si>
  <si>
    <t>战略/标准化</t>
  </si>
  <si>
    <t>余云涛</t>
  </si>
  <si>
    <t>脑机接口测试评价与标准化</t>
  </si>
  <si>
    <t>北京赛西科技发展有限责任公司</t>
  </si>
  <si>
    <t>标准化/产业</t>
  </si>
  <si>
    <t>张丹</t>
  </si>
  <si>
    <t>情绪识别脑机接口与自然交互生理计算</t>
  </si>
  <si>
    <t>https://brain.tsinghua.edu.cn/info/staff/435</t>
  </si>
  <si>
    <t>张利剑</t>
  </si>
  <si>
    <t>脑机接口特种应用与系统工程</t>
  </si>
  <si>
    <t>中国航天科工集团第二研究院二〇六所</t>
  </si>
  <si>
    <t>应用/产业</t>
  </si>
  <si>
    <t>段峰</t>
  </si>
  <si>
    <t>脑机接口、视觉伺服与介入式康复</t>
  </si>
  <si>
    <t>A Dual Stimuli Approach Combined with Convolutional Neural Network to Improve Information Transfer Rate of Event-Related Potential-Based Brain-Computer Interface (2018)</t>
  </si>
  <si>
    <t>南开大学</t>
  </si>
  <si>
    <t>学术/临床</t>
  </si>
  <si>
    <t>https://wap.miit.gov.cn/cms_files/filemanager/1226211233/attach/20256/65ade62451fe4eb09e40e5576208b989.docx
https://doi.org/10.1142/s012906571850034x</t>
  </si>
  <si>
    <t>李婷</t>
  </si>
  <si>
    <t>脑机接口、神经工程与标准化</t>
  </si>
  <si>
    <t>EEG classification based on Small-World neural network for Brain-Computer Interface (2010)</t>
  </si>
  <si>
    <t>中国医学科学院生物医学工程研究所</t>
  </si>
  <si>
    <t>学术/标准化</t>
  </si>
  <si>
    <t>https://wap.miit.gov.cn/cms_files/filemanager/1226211233/attach/20256/65ade62451fe4eb09e40e5576208b989.docx
https://doi.org/10.1109/icnc.2010.5582892</t>
  </si>
  <si>
    <t>明东</t>
  </si>
  <si>
    <t>神经工程、脑机交互与康复</t>
  </si>
  <si>
    <t>Enhance decoding of pre-movement EEG patterns for brain–computer interfaces (2020)</t>
  </si>
  <si>
    <t>中电云脑、燧世科技（成果转化协同）</t>
  </si>
  <si>
    <t>天津大学</t>
  </si>
  <si>
    <t>https://wap.miit.gov.cn/cms_files/filemanager/1226211233/attach/20256/65ade62451fe4eb09e40e5576208b989.docx
https://doi.org/10.1088/1741-2552/ab598f</t>
  </si>
  <si>
    <t>万春晓</t>
  </si>
  <si>
    <t>脑机接口临床转化与神经康复</t>
  </si>
  <si>
    <t>Combined EEG-Gyroscope-tDCS Brain Machine Interface System for Early Management of Driver Drowsiness (2018)</t>
  </si>
  <si>
    <t>天津医科大学总医院</t>
  </si>
  <si>
    <t>https://wap.miit.gov.cn/cms_files/filemanager/1226211233/attach/20256/65ade62451fe4eb09e40e5576208b989.docx
https://doi.org/10.1109/thms.2017.2759808</t>
  </si>
  <si>
    <t>许敏鹏</t>
  </si>
  <si>
    <t>神经工程、脑机接口与神经调控</t>
  </si>
  <si>
    <t>燧世科技、中电云脑（成果转化协同）</t>
  </si>
  <si>
    <t>脑机交互与人机共融海河实验室</t>
  </si>
  <si>
    <t>文冬</t>
  </si>
  <si>
    <t>人机交互、可穿戴系统与脑健康AI</t>
  </si>
  <si>
    <t>Review of Sparse Representation-Based Classification Methods on EEG Signal Processing for Epilepsy Detection, Brain-Computer Interface and Cognitive Impairment (2016)</t>
  </si>
  <si>
    <t>燕山大学</t>
  </si>
  <si>
    <t>https://ziyujia.github.io/Chinese-Reading-Materials/Materials/experts/
https://doi.org/10.3389/fnagi.2016.00172</t>
  </si>
  <si>
    <t>谢平</t>
  </si>
  <si>
    <t>脑机接口、康复机器人与多模态生物信号</t>
  </si>
  <si>
    <t>丛丰裕</t>
  </si>
  <si>
    <t>EEG/ERP/MEG/fMRI信号与认知神经科学</t>
  </si>
  <si>
    <t>Channel Increment Strategy-Based 1D Convolutional Neural Networks for Seizure Prediction Using Intracranial EEG (2023)</t>
  </si>
  <si>
    <t>大连理工大学</t>
  </si>
  <si>
    <t>https://ziyujia.github.io/Chinese-Reading-Materials/Materials/experts/
https://doi.org/10.1109/tnsre.2022.3222095</t>
  </si>
  <si>
    <t>李海峰</t>
  </si>
  <si>
    <t>自然人机交互与脑电智能分析</t>
  </si>
  <si>
    <t>Efficient Neural Network Classification of Parkinson’s Disease and Schizophrenia Using Resting-State EEG Data (2025)</t>
  </si>
  <si>
    <t>哈尔滨工业大学</t>
  </si>
  <si>
    <t>https://ziyujia.github.io/Chinese-Reading-Materials/Materials/experts/
https://doi.org/10.1007/s10548-025-01102-5</t>
  </si>
  <si>
    <t>成工</t>
  </si>
  <si>
    <t>脑电采集、监测设备与产业转化</t>
  </si>
  <si>
    <t>上海帝仪科技有限公司</t>
  </si>
  <si>
    <t>金晶</t>
  </si>
  <si>
    <t>意识检测脑机接口与脑卒中康复</t>
  </si>
  <si>
    <t>Spatial-Temporal Discriminant Analysis for ERP-Based Brain-Computer Interface (2013)</t>
  </si>
  <si>
    <t>华东理工大学</t>
  </si>
  <si>
    <t>https://ziyujia.github.io/Chinese-Reading-Materials/Materials/experts/
https://doi.org/10.1109/tnsre.2013.2243471</t>
  </si>
  <si>
    <t>吕宝粮</t>
  </si>
  <si>
    <t>情感脑机接口、脑电大模型与机器学习</t>
  </si>
  <si>
    <t>Differential entropy feature for EEG-based emotion classification (2013)</t>
  </si>
  <si>
    <t>上海零唯一思科技有限公司（科研协同）</t>
  </si>
  <si>
    <t>上海交通大学</t>
  </si>
  <si>
    <t>https://wap.miit.gov.cn/cms_files/filemanager/1226211233/attach/20256/65ade62451fe4eb09e40e5576208b989.docx
https://doi.org/10.1109/ner.2013.6695876</t>
  </si>
  <si>
    <t>陶虎</t>
  </si>
  <si>
    <t>柔性神经电极、侵入式脑机接口与临床转化</t>
  </si>
  <si>
    <t>上海脑虎科技有限公司</t>
  </si>
  <si>
    <t>童善保</t>
  </si>
  <si>
    <t>神经工程、神经信号处理与脑卒中康复</t>
  </si>
  <si>
    <t>王如彬</t>
  </si>
  <si>
    <t>认知神经动力学与脑信息处理</t>
  </si>
  <si>
    <t>王守岩</t>
  </si>
  <si>
    <t>神经工程、生物医学工程与脑机接口</t>
  </si>
  <si>
    <t>Deep Brain Stimulation for Neuropathic Pain (2006)</t>
  </si>
  <si>
    <t>复旦大学</t>
  </si>
  <si>
    <t>https://wap.miit.gov.cn/cms_files/filemanager/1226211233/attach/20256/65ade62451fe4eb09e40e5576208b989.docx
https://doi.org/10.1111/j.1525-1403.2006.00049.x</t>
  </si>
  <si>
    <t>王薇</t>
  </si>
  <si>
    <t>脑机接口、智能康复与产品转化</t>
  </si>
  <si>
    <t>上海术理智能科技有限公司</t>
  </si>
  <si>
    <t>杨帮华</t>
  </si>
  <si>
    <t>脑机智能主动康复、医学信号与VR/AR</t>
  </si>
  <si>
    <t>A large EEG dataset for studying cross-session variability in motor imagery brain-computer interface (2022)</t>
  </si>
  <si>
    <t>上海大学</t>
  </si>
  <si>
    <t>https://wap.miit.gov.cn/cms_files/filemanager/1226211233/attach/20256/65ade62451fe4eb09e40e5576208b989.docx
https://doi.org/10.1038/s41597-022-01647-1</t>
  </si>
  <si>
    <t>赵郑拓</t>
  </si>
  <si>
    <t>侵入式脑机接口、柔性电极与临床转化</t>
  </si>
  <si>
    <t>上海阶梯医疗科技有限公司（成果转化关联）</t>
  </si>
  <si>
    <t>中国科学院脑科学与智能技术卓越创新中心</t>
  </si>
  <si>
    <t>万遂人</t>
  </si>
  <si>
    <t>医学电子学、生物医学仪器与脑电分析</t>
  </si>
  <si>
    <t>A high-performance seizure detection algorithm based on Discrete Wavelet Transform (DWT) and EEG (2017)</t>
  </si>
  <si>
    <t>东南大学</t>
  </si>
  <si>
    <t>https://ziyujia.github.io/Chinese-Reading-Materials/Materials/experts/
https://doi.org/10.1371/journal.pone.0173138</t>
  </si>
  <si>
    <t>胥红来</t>
  </si>
  <si>
    <t>脑机接口设备、植入系统与产业化</t>
  </si>
  <si>
    <t>博睿康科技（常州）股份有限公司</t>
  </si>
  <si>
    <t>张丽</t>
  </si>
  <si>
    <t>神经精神疾病、脑机接口临床应用</t>
  </si>
  <si>
    <t>南京脑科医院</t>
  </si>
  <si>
    <t>阿迪斯</t>
  </si>
  <si>
    <t>非侵入式脑机接口产品与商业化</t>
  </si>
  <si>
    <t>浙江强脑科技有限公司</t>
  </si>
  <si>
    <t>曹鹏</t>
  </si>
  <si>
    <t>神经调控、脑机接口医疗器械与注册转化</t>
  </si>
  <si>
    <t>杭州佳量医疗科技有限公司</t>
  </si>
  <si>
    <t>孔万增</t>
  </si>
  <si>
    <t>脑机接口与可穿戴计算</t>
  </si>
  <si>
    <t>Sub-band target alignment common spatial pattern in brain-computer interface (2021)</t>
  </si>
  <si>
    <t>杭州电子科技大学</t>
  </si>
  <si>
    <t>https://ziyujia.github.io/Chinese-Reading-Materials/Materials/experts/
https://doi.org/10.1016/j.cmpb.2021.106150</t>
  </si>
  <si>
    <t>潘纲</t>
  </si>
  <si>
    <t>脑机接口、类脑计算与人工智能</t>
  </si>
  <si>
    <t>Delving into&lt;i&gt;α&lt;/i&gt;-stable distribution in noise suppression for seizure detection from scalp EEG (2016)</t>
  </si>
  <si>
    <t>南湖脑机交叉研究院孵化企业群</t>
  </si>
  <si>
    <t>浙江大学</t>
  </si>
  <si>
    <t>https://wap.miit.gov.cn/cms_files/filemanager/1226211233/attach/20256/65ade62451fe4eb09e40e5576208b989.docx
https://doi.org/10.1088/1741-2560/13/5/056009</t>
  </si>
  <si>
    <t>孙瑜</t>
  </si>
  <si>
    <t>柔性电极、非侵入式脑机接口与睡眠监测</t>
  </si>
  <si>
    <t>浙江柔灵科技有限公司</t>
  </si>
  <si>
    <t>孙煜</t>
  </si>
  <si>
    <t>被动式脑机接口、多模态脑网络与产业化</t>
  </si>
  <si>
    <t>Topological Changes in the Brain Network Induced by the Training on a Piloting Task: An EEG-Based Functional Connectome Approach (2018)</t>
  </si>
  <si>
    <t>杭州神踪科技有限公司</t>
  </si>
  <si>
    <t>https://wap.miit.gov.cn/cms_files/filemanager/1226211233/attach/20256/65ade62451fe4eb09e40e5576208b989.docx
https://doi.org/10.1109/tnsre.2016.2581809</t>
  </si>
  <si>
    <t>王怡雯</t>
  </si>
  <si>
    <t>脑机接口、生物信号处理与模式识别</t>
  </si>
  <si>
    <t>王跃明</t>
  </si>
  <si>
    <t>侵入式脑机接口、神经解码与临床转化</t>
  </si>
  <si>
    <t>Enhanced Online Continuous Brain-Control by Deep Learning-Based EEG Decoding (2025)</t>
  </si>
  <si>
    <t>南湖脑机交叉研究院</t>
  </si>
  <si>
    <t>https://wap.miit.gov.cn/cms_files/filemanager/1226211233/attach/20256/65ade62451fe4eb09e40e5576208b989.docx
https://doi.org/10.1109/tnsre.2025.3591254</t>
  </si>
  <si>
    <t>易昊翔</t>
  </si>
  <si>
    <t>脑电采集、脑控交互与产品化</t>
  </si>
  <si>
    <t>杭州回车电子科技有限公司</t>
  </si>
  <si>
    <t>陈勋</t>
  </si>
  <si>
    <t>医学人工智能、脑电信号与自然人机交互</t>
  </si>
  <si>
    <t>Enhancing EEG artifact removal through neural architecture search with large kernels (2024)</t>
  </si>
  <si>
    <t>中国科学技术大学</t>
  </si>
  <si>
    <t>https://wap.miit.gov.cn/cms_files/filemanager/1226211233/attach/20256/65ade62451fe4eb09e40e5576208b989.docx
https://doi.org/10.1016/j.aei.2024.102831</t>
  </si>
  <si>
    <t>吴小培</t>
  </si>
  <si>
    <t>机器学习、脑机接口与特殊人机交互</t>
  </si>
  <si>
    <t>Motor imagery EEG detection by empirical mode decomposition (2008)</t>
  </si>
  <si>
    <t>安徽大学</t>
  </si>
  <si>
    <t>https://ziyujia.github.io/Chinese-Reading-Materials/Materials/experts/
https://doi.org/10.1109/ijcnn.2008.4634164</t>
  </si>
  <si>
    <t>张效初</t>
  </si>
  <si>
    <t>脑电/磁共振、实时神经反馈与神经调控</t>
  </si>
  <si>
    <t>Cascade and Parallel Convolutional Recurrent Neural Networks on EEG-based Intention Recognition for Brain Computer Interface (2018)</t>
  </si>
  <si>
    <t>https://ziyujia.github.io/Chinese-Reading-Materials/Materials/experts/
https://doi.org/10.1609/aaai.v32i1.11496</t>
  </si>
  <si>
    <t>张海燕</t>
  </si>
  <si>
    <t>脑机接口康复机器人与产业化</t>
  </si>
  <si>
    <t>山东海天智能工程有限公司</t>
  </si>
  <si>
    <t>周卫东</t>
  </si>
  <si>
    <t>生物医学信号处理、深度学习与脑电分析</t>
  </si>
  <si>
    <t>山东大学</t>
  </si>
  <si>
    <t>闫镔</t>
  </si>
  <si>
    <t>脑机接口、信息工程与特种应用</t>
  </si>
  <si>
    <t>中国人民解放军网络空间部队信息工程大学</t>
  </si>
  <si>
    <t>学术/应用</t>
  </si>
  <si>
    <t>黄立</t>
  </si>
  <si>
    <t>高通量双向脑机接口芯片与系统</t>
  </si>
  <si>
    <t>武汉衷华脑机融合科技发展有限公司</t>
  </si>
  <si>
    <t>伍冬睿</t>
  </si>
  <si>
    <t>机器学习、脑机接口与情感计算</t>
  </si>
  <si>
    <t>华中科技大学</t>
  </si>
  <si>
    <t>胡德文</t>
  </si>
  <si>
    <t>神经网络、脑功能成像与脑机接口</t>
  </si>
  <si>
    <t>A Dynamically Optimized SSVEP Brain–Computer Interface (BCI) Speller (2015)</t>
  </si>
  <si>
    <t>国防科技大学</t>
  </si>
  <si>
    <t>https://ziyujia.github.io/Chinese-Reading-Materials/Materials/experts/
https://doi.org/10.1109/tbme.2014.2320948</t>
  </si>
  <si>
    <t>王耀南</t>
  </si>
  <si>
    <t>智能控制、机器人与脑控应用</t>
  </si>
  <si>
    <t>湖南大学</t>
  </si>
  <si>
    <t>李光林</t>
  </si>
  <si>
    <t>神经工程、神经信号解码与康复</t>
  </si>
  <si>
    <t>深圳微灵医疗等院所孵化企业</t>
  </si>
  <si>
    <t>中国科学院深圳先进技术研究院</t>
  </si>
  <si>
    <t>李骁健</t>
  </si>
  <si>
    <t>高密度薄膜电极与植入式脑机接口</t>
  </si>
  <si>
    <t>深圳微灵医疗科技有限公司</t>
  </si>
  <si>
    <t>李远清</t>
  </si>
  <si>
    <t>脑机接口、脑信号处理与智能康复</t>
  </si>
  <si>
    <t>广州华南脑控智能科技有限公司（成果转化关联）</t>
  </si>
  <si>
    <t>华南理工大学</t>
  </si>
  <si>
    <t>潘家辉</t>
  </si>
  <si>
    <t>脑机接口、意识检测与辅助沟通</t>
  </si>
  <si>
    <t>华南师范大学</t>
  </si>
  <si>
    <t>俞祝良</t>
  </si>
  <si>
    <t>脑机接口、脑信号处理与机器学习</t>
  </si>
  <si>
    <t>Deep Temporal-Spatial Feature Learning for Motor Imagery-Based Brain–Computer Interfaces (2020)</t>
  </si>
  <si>
    <t>广州华南脑控（产学研关联）</t>
  </si>
  <si>
    <t>https://ziyujia.github.io/Chinese-Reading-Materials/Materials/experts/
https://doi.org/10.1109/tnsre.2020.3023417</t>
  </si>
  <si>
    <t>张峥</t>
  </si>
  <si>
    <t>脑机接口、可穿戴与多模态人机交互</t>
  </si>
  <si>
    <t>华为技术有限公司</t>
  </si>
  <si>
    <t>张治国</t>
  </si>
  <si>
    <t>神经信号影像、医学神经工程与脑机交互</t>
  </si>
  <si>
    <t>深圳大学</t>
  </si>
  <si>
    <t>殷明</t>
  </si>
  <si>
    <t>脑机接口芯片、无线神经接口与集成电路</t>
  </si>
  <si>
    <t>Wireless Neurotechnology for Neural Prostheses (2016)</t>
  </si>
  <si>
    <t>神芯科技（海南）有限公司</t>
  </si>
  <si>
    <t>海南大学</t>
  </si>
  <si>
    <t>https://wap.miit.gov.cn/cms_files/filemanager/1226211233/attach/20256/65ade62451fe4eb09e40e5576208b989.docx
https://doi.org/10.1002/9781118816028.ch5</t>
  </si>
  <si>
    <t>侯文生</t>
  </si>
  <si>
    <t>神经工程、康复与生物医学微系统</t>
  </si>
  <si>
    <t>重庆云脑医疗（区域协同）</t>
  </si>
  <si>
    <t>重庆大学</t>
  </si>
  <si>
    <t>雷旭</t>
  </si>
  <si>
    <t>睡眠脑电、脑成像与神经反馈</t>
  </si>
  <si>
    <t>西南大学</t>
  </si>
  <si>
    <t>徐鹏</t>
  </si>
  <si>
    <t>脑电信号处理、脑机交互与孤独症辅助诊疗</t>
  </si>
  <si>
    <t>成都芯脑科技/前沿类脑创新中心</t>
  </si>
  <si>
    <t>电子科技大学</t>
  </si>
  <si>
    <t>https://faculty.uestc.edu.cn/xupeng1/zh_CN/index.htm</t>
  </si>
  <si>
    <t>尧德中</t>
  </si>
  <si>
    <t>脑信息学、脑器交互、脑电/磁共振融合</t>
  </si>
  <si>
    <t>Predicting Inter-session Performance of SMR-Based Brain–Computer Interface Using the Spectral Entropy of Resting-State EEG (2015)</t>
  </si>
  <si>
    <t>成都前沿类脑人工智能创新中心等</t>
  </si>
  <si>
    <t>https://wap.miit.gov.cn/cms_files/filemanager/1226211233/attach/20256/65ade62451fe4eb09e40e5576208b989.docx
https://doi.org/10.1007/s10548-015-0429-3</t>
  </si>
  <si>
    <t>张杨松</t>
  </si>
  <si>
    <t>脑信息处理、脑机交互与智能医学</t>
  </si>
  <si>
    <t>Multivariate synchronization index for frequency recognition of SSVEP-based brain–computer interface (2014)</t>
  </si>
  <si>
    <t>西南科技大学</t>
  </si>
  <si>
    <t>https://ziyujia.github.io/Chinese-Reading-Materials/Materials/experts/
https://doi.org/10.1016/j.jneumeth.2013.07.018</t>
  </si>
  <si>
    <t>伏云发</t>
  </si>
  <si>
    <t>脑信号处理、脑机交互控制与通信</t>
  </si>
  <si>
    <t>A hybrid BCI based on EEG and fNIRS signals improves the performance of decoding motor imagery of both force and speed of hand clenching (2015)</t>
  </si>
  <si>
    <t>昆明理工大学</t>
  </si>
  <si>
    <t>https://ziyujia.github.io/Chinese-Reading-Materials/Materials/experts/
https://doi.org/10.1088/1741-2560/12/3/036004</t>
  </si>
  <si>
    <t>陈霸东</t>
  </si>
  <si>
    <t>计算神经工程、机器学习与先进信号处理</t>
  </si>
  <si>
    <t>西安交通大学</t>
  </si>
  <si>
    <t>徐光华</t>
  </si>
  <si>
    <t>脑机接口、智能康复与人机共融</t>
  </si>
  <si>
    <t>Highly Interactive Brain–Computer Interface Based on Flicker-Free Steady-State Motion Visual Evoked Potential (2018)</t>
  </si>
  <si>
    <t>西安臻泰智能科技有限公司</t>
  </si>
  <si>
    <t>https://ziyujia.github.io/Chinese-Reading-Materials/Materials/experts/
https://doi.org/10.1038/s41598-018-24008-8</t>
  </si>
  <si>
    <t>郑南宁</t>
  </si>
  <si>
    <t>人工智能、认知计算与脑机交互</t>
  </si>
  <si>
    <t>Nonnegative Matrix Factorization for EEG Signal Classification (2004)</t>
  </si>
  <si>
    <t>https://ziyujia.github.io/Chinese-Reading-Materials/Materials/experts/
https://doi.org/10.1007/978-3-540-28648-6_75</t>
  </si>
  <si>
    <t>胡勇</t>
  </si>
  <si>
    <t>临床电生理、神经工程与神经康复</t>
  </si>
  <si>
    <t>香港大学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</si>
</sst>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</numFmts>
  <fonts count="25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rgb="FF1F2937"/>
      <name val="Carlito"/>
      <charset val="134"/>
    </font>
    <font>
      <b/>
      <sz val="11"/>
      <color rgb="FF17365D"/>
      <name val="Carlito"/>
      <charset val="134"/>
    </font>
    <font>
      <i/>
      <sz val="11"/>
      <color rgb="FF5B6573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B8C6D1"/>
      </left>
      <right style="thin">
        <color rgb="FFB8C6D1"/>
      </right>
      <top style="thin">
        <color rgb="FFB8C6D1"/>
      </top>
      <bottom style="thin">
        <color rgb="FFB8C6D1"/>
      </bottom>
      <diagonal/>
    </border>
    <border>
      <left/>
      <right/>
      <top/>
      <bottom style="thin">
        <color rgb="FFB8C6D1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B8C6D1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0" fillId="0" borderId="0"/>
  </cellStyleXfs>
  <cellXfs count="22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1" fontId="2" fillId="0" borderId="2" xfId="49" applyNumberFormat="1" applyFont="1" applyFill="1" applyBorder="1" applyAlignment="1">
      <alignment horizontal="center" vertical="center" wrapText="1"/>
    </xf>
    <xf numFmtId="0" fontId="2" fillId="0" borderId="2" xfId="49" applyNumberFormat="1" applyFont="1" applyFill="1" applyBorder="1" applyAlignment="1">
      <alignment vertical="top" wrapText="1"/>
    </xf>
    <xf numFmtId="176" fontId="2" fillId="0" borderId="2" xfId="49" applyNumberFormat="1" applyFont="1" applyFill="1" applyBorder="1" applyAlignment="1">
      <alignment vertical="top" wrapText="1"/>
    </xf>
    <xf numFmtId="1" fontId="2" fillId="0" borderId="3" xfId="49" applyNumberFormat="1" applyFont="1" applyFill="1" applyBorder="1" applyAlignment="1">
      <alignment horizontal="center" vertical="center" wrapText="1"/>
    </xf>
    <xf numFmtId="0" fontId="2" fillId="0" borderId="3" xfId="49" applyNumberFormat="1" applyFont="1" applyFill="1" applyBorder="1" applyAlignment="1">
      <alignment vertical="top" wrapText="1"/>
    </xf>
    <xf numFmtId="176" fontId="2" fillId="0" borderId="3" xfId="49" applyNumberFormat="1" applyFont="1" applyFill="1" applyBorder="1" applyAlignment="1">
      <alignment vertical="top" wrapText="1"/>
    </xf>
    <xf numFmtId="1" fontId="2" fillId="0" borderId="4" xfId="49" applyNumberFormat="1" applyFont="1" applyFill="1" applyBorder="1" applyAlignment="1">
      <alignment horizontal="center" vertical="center" wrapText="1"/>
    </xf>
    <xf numFmtId="0" fontId="2" fillId="0" borderId="4" xfId="49" applyNumberFormat="1" applyFont="1" applyFill="1" applyBorder="1" applyAlignment="1">
      <alignment vertical="top" wrapText="1"/>
    </xf>
    <xf numFmtId="176" fontId="2" fillId="0" borderId="4" xfId="49" applyNumberFormat="1" applyFont="1" applyFill="1" applyBorder="1" applyAlignment="1">
      <alignment vertical="top" wrapText="1"/>
    </xf>
    <xf numFmtId="1" fontId="2" fillId="0" borderId="5" xfId="49" applyNumberFormat="1" applyFont="1" applyFill="1" applyBorder="1" applyAlignment="1">
      <alignment horizontal="center" vertical="center" wrapText="1"/>
    </xf>
    <xf numFmtId="0" fontId="2" fillId="0" borderId="5" xfId="49" applyNumberFormat="1" applyFont="1" applyFill="1" applyBorder="1" applyAlignment="1">
      <alignment vertical="top" wrapText="1"/>
    </xf>
    <xf numFmtId="176" fontId="2" fillId="0" borderId="5" xfId="49" applyNumberFormat="1" applyFont="1" applyFill="1" applyBorder="1" applyAlignment="1">
      <alignment vertical="top" wrapText="1"/>
    </xf>
    <xf numFmtId="0" fontId="2" fillId="0" borderId="6" xfId="49" applyNumberFormat="1" applyFont="1" applyFill="1" applyBorder="1" applyAlignment="1">
      <alignment vertical="center" wrapText="1"/>
    </xf>
    <xf numFmtId="1" fontId="2" fillId="0" borderId="6" xfId="49" applyNumberFormat="1" applyFont="1" applyFill="1" applyBorder="1" applyAlignment="1">
      <alignment horizontal="center" vertical="center" wrapText="1"/>
    </xf>
    <xf numFmtId="0" fontId="1" fillId="2" borderId="0" xfId="49" applyNumberFormat="1" applyFont="1" applyFill="1" applyBorder="1" applyAlignment="1">
      <alignment horizontal="left" vertical="center"/>
    </xf>
    <xf numFmtId="0" fontId="3" fillId="3" borderId="1" xfId="49" applyNumberFormat="1" applyFont="1" applyFill="1" applyBorder="1" applyAlignment="1">
      <alignment vertical="top" wrapText="1"/>
    </xf>
    <xf numFmtId="176" fontId="2" fillId="0" borderId="1" xfId="49" applyNumberFormat="1" applyFont="1" applyFill="1" applyBorder="1" applyAlignment="1">
      <alignment vertical="top" wrapText="1"/>
    </xf>
    <xf numFmtId="0" fontId="2" fillId="0" borderId="1" xfId="49" applyNumberFormat="1" applyFont="1" applyFill="1" applyBorder="1" applyAlignment="1">
      <alignment vertical="top" wrapText="1"/>
    </xf>
    <xf numFmtId="0" fontId="3" fillId="3" borderId="0" xfId="49" applyNumberFormat="1" applyFont="1" applyFill="1" applyBorder="1" applyAlignment="1">
      <alignment vertical="top" wrapText="1"/>
    </xf>
    <xf numFmtId="0" fontId="4" fillId="4" borderId="0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ont>
        <color rgb="FF9C6500"/>
      </font>
      <fill>
        <patternFill patternType="solid">
          <bgColor rgb="FFFFF2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ExpertNationalTable" displayName="ExpertNationalTable" ref="A1:J86" totalsRowShown="0">
  <autoFilter xmlns:etc="http://www.wps.cn/officeDocument/2017/etCustomData" ref="A1:J86" etc:filterBottomFollowUsedRange="0"/>
  <tableColumns count="10">
    <tableColumn id="1" name="序号"/>
    <tableColumn id="2" name="专家姓名"/>
    <tableColumn id="3" name="专家所属方向"/>
    <tableColumn id="4" name="代表论文"/>
    <tableColumn id="5" name="关联企业"/>
    <tableColumn id="6" name="工作单位"/>
    <tableColumn id="7" name="所属省份"/>
    <tableColumn id="8" name="专家类型"/>
    <tableColumn id="9" name="公开来源"/>
    <tableColumn id="10" name="核验日期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xpertProvinceTable1" displayName="ExpertProvinceTable1" ref="A1:J27" totalsRowShown="0">
  <autoFilter xmlns:etc="http://www.wps.cn/officeDocument/2017/etCustomData" ref="A1:J27" etc:filterBottomFollowUsedRange="0"/>
  <tableColumns count="10">
    <tableColumn id="1" name="序号"/>
    <tableColumn id="2" name="专家姓名"/>
    <tableColumn id="3" name="专家所属方向"/>
    <tableColumn id="4" name="代表论文"/>
    <tableColumn id="5" name="关联企业"/>
    <tableColumn id="6" name="工作单位"/>
    <tableColumn id="7" name="所属省份"/>
    <tableColumn id="8" name="专家类型"/>
    <tableColumn id="9" name="公开来源"/>
    <tableColumn id="10" name="核验日期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xpertProvinceTable2" displayName="ExpertProvinceTable2" ref="A1:J6" totalsRowShown="0">
  <autoFilter xmlns:etc="http://www.wps.cn/officeDocument/2017/etCustomData" ref="A1:J6" etc:filterBottomFollowUsedRange="0"/>
  <tableColumns count="10">
    <tableColumn id="1" name="序号"/>
    <tableColumn id="2" name="专家姓名"/>
    <tableColumn id="3" name="专家所属方向"/>
    <tableColumn id="4" name="代表论文"/>
    <tableColumn id="5" name="关联企业"/>
    <tableColumn id="6" name="工作单位"/>
    <tableColumn id="7" name="所属省份"/>
    <tableColumn id="8" name="专家类型"/>
    <tableColumn id="9" name="公开来源"/>
    <tableColumn id="10" name="核验日期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xpertProvinceTable3" displayName="ExpertProvinceTable3" ref="A1:J3" totalsRowShown="0">
  <autoFilter xmlns:etc="http://www.wps.cn/officeDocument/2017/etCustomData" ref="A1:J3" etc:filterBottomFollowUsedRange="0"/>
  <tableColumns count="10">
    <tableColumn id="1" name="序号"/>
    <tableColumn id="2" name="专家姓名"/>
    <tableColumn id="3" name="专家所属方向"/>
    <tableColumn id="4" name="代表论文"/>
    <tableColumn id="5" name="关联企业"/>
    <tableColumn id="6" name="工作单位"/>
    <tableColumn id="7" name="所属省份"/>
    <tableColumn id="8" name="专家类型"/>
    <tableColumn id="9" name="公开来源"/>
    <tableColumn id="10" name="核验日期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xpertProvinceTable4" displayName="ExpertProvinceTable4" ref="A1:J2" totalsRowShown="0">
  <autoFilter xmlns:etc="http://www.wps.cn/officeDocument/2017/etCustomData" ref="A1:J2" etc:filterBottomFollowUsedRange="0"/>
  <tableColumns count="10">
    <tableColumn id="1" name="序号"/>
    <tableColumn id="2" name="专家姓名"/>
    <tableColumn id="3" name="专家所属方向"/>
    <tableColumn id="4" name="代表论文"/>
    <tableColumn id="5" name="关联企业"/>
    <tableColumn id="6" name="工作单位"/>
    <tableColumn id="7" name="所属省份"/>
    <tableColumn id="8" name="专家类型"/>
    <tableColumn id="9" name="公开来源"/>
    <tableColumn id="10" name="核验日期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ExpertProvinceTable5" displayName="ExpertProvinceTable5" ref="A1:J2" totalsRowShown="0">
  <autoFilter xmlns:etc="http://www.wps.cn/officeDocument/2017/etCustomData" ref="A1:J2" etc:filterBottomFollowUsedRange="0"/>
  <tableColumns count="10">
    <tableColumn id="1" name="序号"/>
    <tableColumn id="2" name="专家姓名"/>
    <tableColumn id="3" name="专家所属方向"/>
    <tableColumn id="4" name="代表论文"/>
    <tableColumn id="5" name="关联企业"/>
    <tableColumn id="6" name="工作单位"/>
    <tableColumn id="7" name="所属省份"/>
    <tableColumn id="8" name="专家类型"/>
    <tableColumn id="9" name="公开来源"/>
    <tableColumn id="10" name="核验日期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ExpertProvinceTable6" displayName="ExpertProvinceTable6" ref="A1:J11" totalsRowShown="0">
  <autoFilter xmlns:etc="http://www.wps.cn/officeDocument/2017/etCustomData" ref="A1:J11" etc:filterBottomFollowUsedRange="0"/>
  <tableColumns count="10">
    <tableColumn id="1" name="序号"/>
    <tableColumn id="2" name="专家姓名"/>
    <tableColumn id="3" name="专家所属方向"/>
    <tableColumn id="4" name="代表论文"/>
    <tableColumn id="5" name="关联企业"/>
    <tableColumn id="6" name="工作单位"/>
    <tableColumn id="7" name="所属省份"/>
    <tableColumn id="8" name="专家类型"/>
    <tableColumn id="9" name="公开来源"/>
    <tableColumn id="10" name="核验日期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ExpertProvinceTable7" displayName="ExpertProvinceTable7" ref="A1:J4" totalsRowShown="0">
  <autoFilter xmlns:etc="http://www.wps.cn/officeDocument/2017/etCustomData" ref="A1:J4" etc:filterBottomFollowUsedRange="0"/>
  <tableColumns count="10">
    <tableColumn id="1" name="序号"/>
    <tableColumn id="2" name="专家姓名"/>
    <tableColumn id="3" name="专家所属方向"/>
    <tableColumn id="4" name="代表论文"/>
    <tableColumn id="5" name="关联企业"/>
    <tableColumn id="6" name="工作单位"/>
    <tableColumn id="7" name="所属省份"/>
    <tableColumn id="8" name="专家类型"/>
    <tableColumn id="9" name="公开来源"/>
    <tableColumn id="10" name="核验日期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ExpertProvinceTable8" displayName="ExpertProvinceTable8" ref="A1:J10" totalsRowShown="0">
  <autoFilter xmlns:etc="http://www.wps.cn/officeDocument/2017/etCustomData" ref="A1:J10" etc:filterBottomFollowUsedRange="0"/>
  <tableColumns count="10">
    <tableColumn id="1" name="序号"/>
    <tableColumn id="2" name="专家姓名"/>
    <tableColumn id="3" name="专家所属方向"/>
    <tableColumn id="4" name="代表论文"/>
    <tableColumn id="5" name="关联企业"/>
    <tableColumn id="6" name="工作单位"/>
    <tableColumn id="7" name="所属省份"/>
    <tableColumn id="8" name="专家类型"/>
    <tableColumn id="9" name="公开来源"/>
    <tableColumn id="10" name="核验日期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ExpertProvinceTable9" displayName="ExpertProvinceTable9" ref="A1:J4" totalsRowShown="0">
  <autoFilter xmlns:etc="http://www.wps.cn/officeDocument/2017/etCustomData" ref="A1:J4" etc:filterBottomFollowUsedRange="0"/>
  <tableColumns count="10">
    <tableColumn id="1" name="序号"/>
    <tableColumn id="2" name="专家姓名"/>
    <tableColumn id="3" name="专家所属方向"/>
    <tableColumn id="4" name="代表论文"/>
    <tableColumn id="5" name="关联企业"/>
    <tableColumn id="6" name="工作单位"/>
    <tableColumn id="7" name="所属省份"/>
    <tableColumn id="8" name="专家类型"/>
    <tableColumn id="9" name="公开来源"/>
    <tableColumn id="10" name="核验日期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ExpertProvinceTable10" displayName="ExpertProvinceTable10" ref="A1:J3" totalsRowShown="0">
  <autoFilter xmlns:etc="http://www.wps.cn/officeDocument/2017/etCustomData" ref="A1:J3" etc:filterBottomFollowUsedRange="0"/>
  <tableColumns count="10">
    <tableColumn id="1" name="序号"/>
    <tableColumn id="2" name="专家姓名"/>
    <tableColumn id="3" name="专家所属方向"/>
    <tableColumn id="4" name="代表论文"/>
    <tableColumn id="5" name="关联企业"/>
    <tableColumn id="6" name="工作单位"/>
    <tableColumn id="7" name="所属省份"/>
    <tableColumn id="8" name="专家类型"/>
    <tableColumn id="9" name="公开来源"/>
    <tableColumn id="10" name="核验日期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ExpertProvinceTable11" displayName="ExpertProvinceTable11" ref="A1:J2" totalsRowShown="0">
  <autoFilter xmlns:etc="http://www.wps.cn/officeDocument/2017/etCustomData" ref="A1:J2" etc:filterBottomFollowUsedRange="0"/>
  <tableColumns count="10">
    <tableColumn id="1" name="序号"/>
    <tableColumn id="2" name="专家姓名"/>
    <tableColumn id="3" name="专家所属方向"/>
    <tableColumn id="4" name="代表论文"/>
    <tableColumn id="5" name="关联企业"/>
    <tableColumn id="6" name="工作单位"/>
    <tableColumn id="7" name="所属省份"/>
    <tableColumn id="8" name="专家类型"/>
    <tableColumn id="9" name="公开来源"/>
    <tableColumn id="10" name="核验日期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ExpertProvinceTable12" displayName="ExpertProvinceTable12" ref="A1:J3" totalsRowShown="0">
  <autoFilter xmlns:etc="http://www.wps.cn/officeDocument/2017/etCustomData" ref="A1:J3" etc:filterBottomFollowUsedRange="0"/>
  <tableColumns count="10">
    <tableColumn id="1" name="序号"/>
    <tableColumn id="2" name="专家姓名"/>
    <tableColumn id="3" name="专家所属方向"/>
    <tableColumn id="4" name="代表论文"/>
    <tableColumn id="5" name="关联企业"/>
    <tableColumn id="6" name="工作单位"/>
    <tableColumn id="7" name="所属省份"/>
    <tableColumn id="8" name="专家类型"/>
    <tableColumn id="9" name="公开来源"/>
    <tableColumn id="10" name="核验日期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ExpertProvinceTable13" displayName="ExpertProvinceTable13" ref="A1:J3" totalsRowShown="0">
  <autoFilter xmlns:etc="http://www.wps.cn/officeDocument/2017/etCustomData" ref="A1:J3" etc:filterBottomFollowUsedRange="0"/>
  <tableColumns count="10">
    <tableColumn id="1" name="序号"/>
    <tableColumn id="2" name="专家姓名"/>
    <tableColumn id="3" name="专家所属方向"/>
    <tableColumn id="4" name="代表论文"/>
    <tableColumn id="5" name="关联企业"/>
    <tableColumn id="6" name="工作单位"/>
    <tableColumn id="7" name="所属省份"/>
    <tableColumn id="8" name="专家类型"/>
    <tableColumn id="9" name="公开来源"/>
    <tableColumn id="10" name="核验日期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ExpertProvinceTable14" displayName="ExpertProvinceTable14" ref="A1:J8" totalsRowShown="0">
  <autoFilter xmlns:etc="http://www.wps.cn/officeDocument/2017/etCustomData" ref="A1:J8" etc:filterBottomFollowUsedRange="0"/>
  <tableColumns count="10">
    <tableColumn id="1" name="序号"/>
    <tableColumn id="2" name="专家姓名"/>
    <tableColumn id="3" name="专家所属方向"/>
    <tableColumn id="4" name="代表论文"/>
    <tableColumn id="5" name="关联企业"/>
    <tableColumn id="6" name="工作单位"/>
    <tableColumn id="7" name="所属省份"/>
    <tableColumn id="8" name="专家类型"/>
    <tableColumn id="9" name="公开来源"/>
    <tableColumn id="10" name="核验日期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ExpertProvinceTable15" displayName="ExpertProvinceTable15" ref="A1:J2" totalsRowShown="0">
  <autoFilter xmlns:etc="http://www.wps.cn/officeDocument/2017/etCustomData" ref="A1:J2" etc:filterBottomFollowUsedRange="0"/>
  <tableColumns count="10">
    <tableColumn id="1" name="序号"/>
    <tableColumn id="2" name="专家姓名"/>
    <tableColumn id="3" name="专家所属方向"/>
    <tableColumn id="4" name="代表论文"/>
    <tableColumn id="5" name="关联企业"/>
    <tableColumn id="6" name="工作单位"/>
    <tableColumn id="7" name="所属省份"/>
    <tableColumn id="8" name="专家类型"/>
    <tableColumn id="9" name="公开来源"/>
    <tableColumn id="10" name="核验日期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ExpertProvinceTable16" displayName="ExpertProvinceTable16" ref="A1:J3" totalsRowShown="0">
  <autoFilter xmlns:etc="http://www.wps.cn/officeDocument/2017/etCustomData" ref="A1:J3" etc:filterBottomFollowUsedRange="0"/>
  <tableColumns count="10">
    <tableColumn id="1" name="序号"/>
    <tableColumn id="2" name="专家姓名"/>
    <tableColumn id="3" name="专家所属方向"/>
    <tableColumn id="4" name="代表论文"/>
    <tableColumn id="5" name="关联企业"/>
    <tableColumn id="6" name="工作单位"/>
    <tableColumn id="7" name="所属省份"/>
    <tableColumn id="8" name="专家类型"/>
    <tableColumn id="9" name="公开来源"/>
    <tableColumn id="10" name="核验日期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ExpertProvinceTable17" displayName="ExpertProvinceTable17" ref="A1:J4" totalsRowShown="0">
  <autoFilter xmlns:etc="http://www.wps.cn/officeDocument/2017/etCustomData" ref="A1:J4" etc:filterBottomFollowUsedRange="0"/>
  <tableColumns count="10">
    <tableColumn id="1" name="序号"/>
    <tableColumn id="2" name="专家姓名"/>
    <tableColumn id="3" name="专家所属方向"/>
    <tableColumn id="4" name="代表论文"/>
    <tableColumn id="5" name="关联企业"/>
    <tableColumn id="6" name="工作单位"/>
    <tableColumn id="7" name="所属省份"/>
    <tableColumn id="8" name="专家类型"/>
    <tableColumn id="9" name="公开来源"/>
    <tableColumn id="10" name="核验日期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ExpertProvinceTable18" displayName="ExpertProvinceTable18" ref="A1:J2" totalsRowShown="0">
  <autoFilter xmlns:etc="http://www.wps.cn/officeDocument/2017/etCustomData" ref="A1:J2" etc:filterBottomFollowUsedRange="0"/>
  <tableColumns count="10">
    <tableColumn id="1" name="序号"/>
    <tableColumn id="2" name="专家姓名"/>
    <tableColumn id="3" name="专家所属方向"/>
    <tableColumn id="4" name="代表论文"/>
    <tableColumn id="5" name="关联企业"/>
    <tableColumn id="6" name="工作单位"/>
    <tableColumn id="7" name="所属省份"/>
    <tableColumn id="8" name="专家类型"/>
    <tableColumn id="9" name="公开来源"/>
    <tableColumn id="10" name="核验日期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ExpertProvinceTable19" displayName="ExpertProvinceTable19" ref="A1:J4" totalsRowShown="0">
  <autoFilter xmlns:etc="http://www.wps.cn/officeDocument/2017/etCustomData" ref="A1:J4" etc:filterBottomFollowUsedRange="0"/>
  <tableColumns count="10">
    <tableColumn id="1" name="序号"/>
    <tableColumn id="2" name="专家姓名"/>
    <tableColumn id="3" name="专家所属方向"/>
    <tableColumn id="4" name="代表论文"/>
    <tableColumn id="5" name="关联企业"/>
    <tableColumn id="6" name="工作单位"/>
    <tableColumn id="7" name="所属省份"/>
    <tableColumn id="8" name="专家类型"/>
    <tableColumn id="9" name="公开来源"/>
    <tableColumn id="10" name="核验日期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ExpertProvinceTable20" displayName="ExpertProvinceTable20" ref="A1:J2" totalsRowShown="0">
  <autoFilter xmlns:etc="http://www.wps.cn/officeDocument/2017/etCustomData" ref="A1:J2" etc:filterBottomFollowUsedRange="0"/>
  <tableColumns count="10">
    <tableColumn id="1" name="序号"/>
    <tableColumn id="2" name="专家姓名"/>
    <tableColumn id="3" name="专家所属方向"/>
    <tableColumn id="4" name="代表论文"/>
    <tableColumn id="5" name="关联企业"/>
    <tableColumn id="6" name="工作单位"/>
    <tableColumn id="7" name="所属省份"/>
    <tableColumn id="8" name="专家类型"/>
    <tableColumn id="9" name="公开来源"/>
    <tableColumn id="10" name="核验日期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showGridLines="0" workbookViewId="0">
      <selection activeCell="A1" sqref="A1:F1"/>
    </sheetView>
  </sheetViews>
  <sheetFormatPr defaultColWidth="9" defaultRowHeight="14.5" outlineLevelCol="5"/>
  <cols>
    <col min="1" max="1" width="18" customWidth="1"/>
    <col min="2" max="2" width="95" customWidth="1"/>
    <col min="3" max="6" width="3" customWidth="1"/>
  </cols>
  <sheetData>
    <row r="1" ht="36" customHeight="1" spans="1:6">
      <c r="A1" s="16" t="s">
        <v>0</v>
      </c>
      <c r="B1" s="16"/>
      <c r="C1" s="16"/>
      <c r="D1" s="16"/>
      <c r="E1" s="16"/>
      <c r="F1" s="16"/>
    </row>
    <row r="3" ht="28" customHeight="1" spans="1:6">
      <c r="A3" s="17" t="s">
        <v>1</v>
      </c>
      <c r="B3" s="18">
        <v>46252</v>
      </c>
    </row>
    <row r="4" ht="28" customHeight="1" spans="1:6">
      <c r="A4" s="17" t="s">
        <v>2</v>
      </c>
      <c r="B4" s="19">
        <f>COUNTA(全国汇总!$B$2:$B$86)</f>
        <v>85</v>
      </c>
    </row>
    <row r="5" ht="58" customHeight="1" spans="1:6">
      <c r="A5" s="17" t="s">
        <v>3</v>
      </c>
      <c r="B5" s="19" t="s">
        <v>4</v>
      </c>
    </row>
    <row r="6" ht="58" customHeight="1" spans="1:6">
      <c r="A6" s="17" t="s">
        <v>5</v>
      </c>
      <c r="B6" s="19" t="s">
        <v>6</v>
      </c>
    </row>
    <row r="7" ht="58" customHeight="1" spans="1:6">
      <c r="A7" s="17" t="s">
        <v>7</v>
      </c>
      <c r="B7" s="19" t="s">
        <v>8</v>
      </c>
    </row>
    <row r="8" ht="58" customHeight="1" spans="1:6">
      <c r="A8" s="17" t="s">
        <v>9</v>
      </c>
      <c r="B8" s="19" t="s">
        <v>10</v>
      </c>
    </row>
    <row r="9" ht="58" customHeight="1" spans="1:6">
      <c r="A9" s="17" t="s">
        <v>11</v>
      </c>
      <c r="B9" s="19" t="s">
        <v>12</v>
      </c>
    </row>
    <row r="10" spans="1:6">
      <c r="A10" s="20"/>
    </row>
    <row r="11" ht="42" customHeight="1" spans="1:6">
      <c r="A11" s="21" t="s">
        <v>13</v>
      </c>
      <c r="B11" s="21"/>
      <c r="C11" s="21"/>
      <c r="D11" s="21"/>
      <c r="E11" s="21"/>
      <c r="F11" s="21"/>
    </row>
  </sheetData>
  <mergeCells count="2">
    <mergeCell ref="A1:F1"/>
    <mergeCell ref="A11:F1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showGridLines="0" workbookViewId="0">
      <selection activeCell="H10" sqref="H10"/>
    </sheetView>
  </sheetViews>
  <sheetFormatPr defaultColWidth="9" defaultRowHeight="14.5" outlineLevelCol="3"/>
  <cols>
    <col min="1" max="1" width="22" customWidth="1"/>
    <col min="2" max="2" width="12" customWidth="1"/>
    <col min="3" max="3" width="24" customWidth="1"/>
    <col min="4" max="4" width="48" customWidth="1"/>
  </cols>
  <sheetData>
    <row r="1" ht="30" customHeight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s="14" t="s">
        <v>18</v>
      </c>
      <c r="B2" s="15">
        <f>COUNTIF(全国汇总!$G$2:$G$86,A2)</f>
        <v>26</v>
      </c>
      <c r="C2" s="14" t="str">
        <f t="shared" ref="C2:C35" si="0">IF(B2=0,"暂未检索到符合口径对象","已收录")</f>
        <v>已收录</v>
      </c>
      <c r="D2" s="14"/>
    </row>
    <row r="3" spans="1:4">
      <c r="A3" s="14" t="s">
        <v>19</v>
      </c>
      <c r="B3" s="15">
        <f>COUNTIF(全国汇总!$G$2:$G$86,A3)</f>
        <v>5</v>
      </c>
      <c r="C3" s="14" t="str">
        <f t="shared" si="0"/>
        <v>已收录</v>
      </c>
      <c r="D3" s="14"/>
    </row>
    <row r="4" spans="1:4">
      <c r="A4" s="14" t="s">
        <v>20</v>
      </c>
      <c r="B4" s="15">
        <f>COUNTIF(全国汇总!$G$2:$G$86,A4)</f>
        <v>2</v>
      </c>
      <c r="C4" s="14" t="str">
        <f t="shared" si="0"/>
        <v>已收录</v>
      </c>
      <c r="D4" s="14"/>
    </row>
    <row r="5" spans="1:4">
      <c r="A5" s="14" t="s">
        <v>21</v>
      </c>
      <c r="B5" s="15">
        <f>COUNTIF(全国汇总!$G$2:$G$86,A5)</f>
        <v>0</v>
      </c>
      <c r="C5" s="14"/>
      <c r="D5" s="14"/>
    </row>
    <row r="6" spans="1:4">
      <c r="A6" s="14" t="s">
        <v>22</v>
      </c>
      <c r="B6" s="15">
        <f>COUNTIF(全国汇总!$G$2:$G$86,A6)</f>
        <v>0</v>
      </c>
      <c r="C6" s="14"/>
      <c r="D6" s="14"/>
    </row>
    <row r="7" spans="1:4">
      <c r="A7" s="14" t="s">
        <v>23</v>
      </c>
      <c r="B7" s="15">
        <f>COUNTIF(全国汇总!$G$2:$G$86,A7)</f>
        <v>1</v>
      </c>
      <c r="C7" s="14" t="str">
        <f t="shared" si="0"/>
        <v>已收录</v>
      </c>
      <c r="D7" s="14"/>
    </row>
    <row r="8" spans="1:4">
      <c r="A8" s="14" t="s">
        <v>24</v>
      </c>
      <c r="B8" s="15">
        <f>COUNTIF(全国汇总!$G$2:$G$86,A8)</f>
        <v>0</v>
      </c>
      <c r="C8" s="14"/>
      <c r="D8" s="14"/>
    </row>
    <row r="9" spans="1:4">
      <c r="A9" s="14" t="s">
        <v>25</v>
      </c>
      <c r="B9" s="15">
        <f>COUNTIF(全国汇总!$G$2:$G$86,A9)</f>
        <v>1</v>
      </c>
      <c r="C9" s="14" t="str">
        <f t="shared" si="0"/>
        <v>已收录</v>
      </c>
      <c r="D9" s="14"/>
    </row>
    <row r="10" spans="1:4">
      <c r="A10" s="14" t="s">
        <v>26</v>
      </c>
      <c r="B10" s="15">
        <f>COUNTIF(全国汇总!$G$2:$G$86,A10)</f>
        <v>10</v>
      </c>
      <c r="C10" s="14" t="str">
        <f t="shared" si="0"/>
        <v>已收录</v>
      </c>
      <c r="D10" s="14"/>
    </row>
    <row r="11" spans="1:4">
      <c r="A11" s="14" t="s">
        <v>27</v>
      </c>
      <c r="B11" s="15">
        <f>COUNTIF(全国汇总!$G$2:$G$86,A11)</f>
        <v>3</v>
      </c>
      <c r="C11" s="14" t="str">
        <f t="shared" si="0"/>
        <v>已收录</v>
      </c>
      <c r="D11" s="14"/>
    </row>
    <row r="12" spans="1:4">
      <c r="A12" s="14" t="s">
        <v>28</v>
      </c>
      <c r="B12" s="15">
        <f>COUNTIF(全国汇总!$G$2:$G$86,A12)</f>
        <v>9</v>
      </c>
      <c r="C12" s="14" t="str">
        <f t="shared" si="0"/>
        <v>已收录</v>
      </c>
      <c r="D12" s="14"/>
    </row>
    <row r="13" spans="1:4">
      <c r="A13" s="14" t="s">
        <v>29</v>
      </c>
      <c r="B13" s="15">
        <f>COUNTIF(全国汇总!$G$2:$G$86,A13)</f>
        <v>3</v>
      </c>
      <c r="C13" s="14" t="str">
        <f t="shared" si="0"/>
        <v>已收录</v>
      </c>
      <c r="D13" s="14"/>
    </row>
    <row r="14" spans="1:4">
      <c r="A14" s="14" t="s">
        <v>30</v>
      </c>
      <c r="B14" s="15">
        <f>COUNTIF(全国汇总!$G$2:$G$86,A14)</f>
        <v>0</v>
      </c>
      <c r="C14" s="14"/>
      <c r="D14" s="14"/>
    </row>
    <row r="15" spans="1:4">
      <c r="A15" s="14" t="s">
        <v>31</v>
      </c>
      <c r="B15" s="15">
        <f>COUNTIF(全国汇总!$G$2:$G$86,A15)</f>
        <v>0</v>
      </c>
      <c r="C15" s="14"/>
      <c r="D15" s="14"/>
    </row>
    <row r="16" spans="1:4">
      <c r="A16" s="14" t="s">
        <v>32</v>
      </c>
      <c r="B16" s="15">
        <f>COUNTIF(全国汇总!$G$2:$G$86,A16)</f>
        <v>2</v>
      </c>
      <c r="C16" s="14" t="str">
        <f t="shared" si="0"/>
        <v>已收录</v>
      </c>
      <c r="D16" s="14"/>
    </row>
    <row r="17" spans="1:4">
      <c r="A17" s="14" t="s">
        <v>33</v>
      </c>
      <c r="B17" s="15">
        <f>COUNTIF(全国汇总!$G$2:$G$86,A17)</f>
        <v>1</v>
      </c>
      <c r="C17" s="14" t="str">
        <f t="shared" si="0"/>
        <v>已收录</v>
      </c>
      <c r="D17" s="14"/>
    </row>
    <row r="18" spans="1:4">
      <c r="A18" s="14" t="s">
        <v>34</v>
      </c>
      <c r="B18" s="15">
        <f>COUNTIF(全国汇总!$G$2:$G$86,A18)</f>
        <v>2</v>
      </c>
      <c r="C18" s="14" t="str">
        <f t="shared" si="0"/>
        <v>已收录</v>
      </c>
      <c r="D18" s="14"/>
    </row>
    <row r="19" spans="1:4">
      <c r="A19" s="14" t="s">
        <v>35</v>
      </c>
      <c r="B19" s="15">
        <f>COUNTIF(全国汇总!$G$2:$G$86,A19)</f>
        <v>2</v>
      </c>
      <c r="C19" s="14" t="str">
        <f t="shared" si="0"/>
        <v>已收录</v>
      </c>
      <c r="D19" s="14"/>
    </row>
    <row r="20" spans="1:4">
      <c r="A20" s="14" t="s">
        <v>36</v>
      </c>
      <c r="B20" s="15">
        <f>COUNTIF(全国汇总!$G$2:$G$86,A20)</f>
        <v>7</v>
      </c>
      <c r="C20" s="14" t="str">
        <f t="shared" si="0"/>
        <v>已收录</v>
      </c>
      <c r="D20" s="14"/>
    </row>
    <row r="21" spans="1:4">
      <c r="A21" s="14" t="s">
        <v>37</v>
      </c>
      <c r="B21" s="15">
        <f>COUNTIF(全国汇总!$G$2:$G$86,A21)</f>
        <v>0</v>
      </c>
      <c r="C21" s="14"/>
      <c r="D21" s="14"/>
    </row>
    <row r="22" spans="1:4">
      <c r="A22" s="14" t="s">
        <v>38</v>
      </c>
      <c r="B22" s="15">
        <f>COUNTIF(全国汇总!$G$2:$G$86,A22)</f>
        <v>1</v>
      </c>
      <c r="C22" s="14" t="str">
        <f t="shared" si="0"/>
        <v>已收录</v>
      </c>
      <c r="D22" s="14"/>
    </row>
    <row r="23" spans="1:4">
      <c r="A23" s="14" t="s">
        <v>39</v>
      </c>
      <c r="B23" s="15">
        <f>COUNTIF(全国汇总!$G$2:$G$86,A23)</f>
        <v>2</v>
      </c>
      <c r="C23" s="14" t="str">
        <f t="shared" si="0"/>
        <v>已收录</v>
      </c>
      <c r="D23" s="14"/>
    </row>
    <row r="24" spans="1:4">
      <c r="A24" s="14" t="s">
        <v>40</v>
      </c>
      <c r="B24" s="15">
        <f>COUNTIF(全国汇总!$G$2:$G$86,A24)</f>
        <v>3</v>
      </c>
      <c r="C24" s="14" t="str">
        <f t="shared" si="0"/>
        <v>已收录</v>
      </c>
      <c r="D24" s="14"/>
    </row>
    <row r="25" spans="1:4">
      <c r="A25" s="14" t="s">
        <v>41</v>
      </c>
      <c r="B25" s="15">
        <f>COUNTIF(全国汇总!$G$2:$G$86,A25)</f>
        <v>0</v>
      </c>
      <c r="C25" s="14"/>
      <c r="D25" s="14"/>
    </row>
    <row r="26" spans="1:4">
      <c r="A26" s="14" t="s">
        <v>42</v>
      </c>
      <c r="B26" s="15">
        <f>COUNTIF(全国汇总!$G$2:$G$86,A26)</f>
        <v>1</v>
      </c>
      <c r="C26" s="14" t="str">
        <f t="shared" si="0"/>
        <v>已收录</v>
      </c>
      <c r="D26" s="14"/>
    </row>
    <row r="27" spans="1:4">
      <c r="A27" s="14" t="s">
        <v>43</v>
      </c>
      <c r="B27" s="15">
        <f>COUNTIF(全国汇总!$G$2:$G$86,A27)</f>
        <v>0</v>
      </c>
      <c r="C27" s="14"/>
      <c r="D27" s="14"/>
    </row>
    <row r="28" spans="1:4">
      <c r="A28" s="14" t="s">
        <v>44</v>
      </c>
      <c r="B28" s="15">
        <f>COUNTIF(全国汇总!$G$2:$G$86,A28)</f>
        <v>3</v>
      </c>
      <c r="C28" s="14" t="str">
        <f t="shared" si="0"/>
        <v>已收录</v>
      </c>
      <c r="D28" s="14"/>
    </row>
    <row r="29" spans="1:4">
      <c r="A29" s="14" t="s">
        <v>45</v>
      </c>
      <c r="B29" s="15">
        <f>COUNTIF(全国汇总!$G$2:$G$86,A29)</f>
        <v>0</v>
      </c>
      <c r="C29" s="14"/>
      <c r="D29" s="14"/>
    </row>
    <row r="30" spans="1:4">
      <c r="A30" s="14" t="s">
        <v>46</v>
      </c>
      <c r="B30" s="15">
        <f>COUNTIF(全国汇总!$G$2:$G$86,A30)</f>
        <v>0</v>
      </c>
      <c r="C30" s="14"/>
      <c r="D30" s="14"/>
    </row>
    <row r="31" spans="1:4">
      <c r="A31" s="14" t="s">
        <v>47</v>
      </c>
      <c r="B31" s="15">
        <f>COUNTIF(全国汇总!$G$2:$G$86,A31)</f>
        <v>0</v>
      </c>
      <c r="C31" s="14"/>
      <c r="D31" s="14"/>
    </row>
    <row r="32" spans="1:4">
      <c r="A32" s="14" t="s">
        <v>48</v>
      </c>
      <c r="B32" s="15">
        <f>COUNTIF(全国汇总!$G$2:$G$86,A32)</f>
        <v>0</v>
      </c>
      <c r="C32" s="14"/>
      <c r="D32" s="14"/>
    </row>
    <row r="33" spans="1:4">
      <c r="A33" s="14" t="s">
        <v>49</v>
      </c>
      <c r="B33" s="15">
        <f>COUNTIF(全国汇总!$G$2:$G$86,A33)</f>
        <v>1</v>
      </c>
      <c r="C33" s="14" t="str">
        <f t="shared" si="0"/>
        <v>已收录</v>
      </c>
      <c r="D33" s="14"/>
    </row>
    <row r="34" spans="1:4">
      <c r="A34" s="14" t="s">
        <v>50</v>
      </c>
      <c r="B34" s="15">
        <f>COUNTIF(全国汇总!$G$2:$G$86,A34)</f>
        <v>0</v>
      </c>
      <c r="C34" s="14"/>
      <c r="D34" s="14"/>
    </row>
    <row r="35" spans="1:4">
      <c r="A35" s="14" t="s">
        <v>51</v>
      </c>
      <c r="B35" s="15">
        <f>COUNTIF(全国汇总!$G$2:$G$86,A35)</f>
        <v>0</v>
      </c>
      <c r="C35" s="14"/>
      <c r="D35" s="14"/>
    </row>
  </sheetData>
  <conditionalFormatting sqref="C2:C35">
    <cfRule type="containsText" dxfId="0" priority="1" operator="between" text="暂未检索到">
      <formula>NOT(ISERROR(SEARCH("暂未检索到",C2)))</formula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6"/>
  <sheetViews>
    <sheetView showGridLines="0" tabSelected="1" workbookViewId="0">
      <selection activeCell="A1" sqref="A1"/>
    </sheetView>
  </sheetViews>
  <sheetFormatPr defaultColWidth="9" defaultRowHeight="14.5"/>
  <cols>
    <col min="1" max="1" width="7" customWidth="1"/>
    <col min="2" max="2" width="14" customWidth="1"/>
    <col min="3" max="3" width="42" customWidth="1"/>
    <col min="4" max="4" width="55" customWidth="1"/>
    <col min="5" max="5" width="35" customWidth="1"/>
    <col min="6" max="6" width="34" customWidth="1"/>
    <col min="7" max="7" width="14" customWidth="1"/>
    <col min="8" max="8" width="16" customWidth="1"/>
    <col min="9" max="9" width="60" customWidth="1"/>
    <col min="10" max="10" width="13" customWidth="1"/>
  </cols>
  <sheetData>
    <row r="1" ht="30" customHeight="1" spans="1:10">
      <c r="A1" s="1" t="s">
        <v>52</v>
      </c>
      <c r="B1" s="1" t="s">
        <v>53</v>
      </c>
      <c r="C1" s="1" t="s">
        <v>54</v>
      </c>
      <c r="D1" s="1" t="s">
        <v>7</v>
      </c>
      <c r="E1" s="1" t="s">
        <v>9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1</v>
      </c>
    </row>
    <row r="2" ht="58" customHeight="1" spans="1:10">
      <c r="A2" s="5">
        <v>1</v>
      </c>
      <c r="B2" s="6" t="s">
        <v>59</v>
      </c>
      <c r="C2" s="6" t="s">
        <v>60</v>
      </c>
      <c r="D2" s="6" t="s">
        <v>61</v>
      </c>
      <c r="E2" s="6" t="s">
        <v>62</v>
      </c>
      <c r="F2" s="6" t="s">
        <v>63</v>
      </c>
      <c r="G2" s="6" t="s">
        <v>18</v>
      </c>
      <c r="H2" s="6" t="s">
        <v>64</v>
      </c>
      <c r="I2" s="6" t="s">
        <v>65</v>
      </c>
      <c r="J2" s="7">
        <v>46252</v>
      </c>
    </row>
    <row r="3" ht="58" customHeight="1" spans="1:10">
      <c r="A3" s="8">
        <v>2</v>
      </c>
      <c r="B3" s="9" t="s">
        <v>66</v>
      </c>
      <c r="C3" s="9" t="s">
        <v>67</v>
      </c>
      <c r="D3" s="9" t="s">
        <v>61</v>
      </c>
      <c r="E3" s="9" t="s">
        <v>62</v>
      </c>
      <c r="F3" s="9" t="s">
        <v>68</v>
      </c>
      <c r="G3" s="9" t="s">
        <v>18</v>
      </c>
      <c r="H3" s="9" t="s">
        <v>69</v>
      </c>
      <c r="I3" s="9" t="s">
        <v>65</v>
      </c>
      <c r="J3" s="10">
        <v>46252</v>
      </c>
    </row>
    <row r="4" ht="58" customHeight="1" spans="1:10">
      <c r="A4" s="8">
        <v>3</v>
      </c>
      <c r="B4" s="9" t="s">
        <v>70</v>
      </c>
      <c r="C4" s="9" t="s">
        <v>71</v>
      </c>
      <c r="D4" s="9" t="s">
        <v>72</v>
      </c>
      <c r="E4" s="9" t="s">
        <v>73</v>
      </c>
      <c r="F4" s="9" t="s">
        <v>74</v>
      </c>
      <c r="G4" s="9" t="s">
        <v>18</v>
      </c>
      <c r="H4" s="9" t="s">
        <v>75</v>
      </c>
      <c r="I4" s="9" t="s">
        <v>76</v>
      </c>
      <c r="J4" s="10">
        <v>46252</v>
      </c>
    </row>
    <row r="5" ht="58" customHeight="1" spans="1:10">
      <c r="A5" s="8">
        <v>4</v>
      </c>
      <c r="B5" s="9" t="s">
        <v>77</v>
      </c>
      <c r="C5" s="9" t="s">
        <v>78</v>
      </c>
      <c r="D5" s="9" t="s">
        <v>72</v>
      </c>
      <c r="E5" s="9" t="s">
        <v>79</v>
      </c>
      <c r="F5" s="9" t="s">
        <v>80</v>
      </c>
      <c r="G5" s="9" t="s">
        <v>18</v>
      </c>
      <c r="H5" s="9" t="s">
        <v>81</v>
      </c>
      <c r="I5" s="9" t="s">
        <v>82</v>
      </c>
      <c r="J5" s="10">
        <v>46252</v>
      </c>
    </row>
    <row r="6" ht="58" customHeight="1" spans="1:10">
      <c r="A6" s="8">
        <v>5</v>
      </c>
      <c r="B6" s="9" t="s">
        <v>83</v>
      </c>
      <c r="C6" s="9" t="s">
        <v>84</v>
      </c>
      <c r="D6" s="9" t="s">
        <v>61</v>
      </c>
      <c r="E6" s="9" t="s">
        <v>85</v>
      </c>
      <c r="F6" s="9" t="s">
        <v>85</v>
      </c>
      <c r="G6" s="9" t="s">
        <v>18</v>
      </c>
      <c r="H6" s="9" t="s">
        <v>86</v>
      </c>
      <c r="I6" s="9" t="s">
        <v>65</v>
      </c>
      <c r="J6" s="10">
        <v>46252</v>
      </c>
    </row>
    <row r="7" ht="58" customHeight="1" spans="1:10">
      <c r="A7" s="8">
        <v>6</v>
      </c>
      <c r="B7" s="9" t="s">
        <v>87</v>
      </c>
      <c r="C7" s="9" t="s">
        <v>88</v>
      </c>
      <c r="D7" s="9" t="s">
        <v>89</v>
      </c>
      <c r="E7" s="9" t="s">
        <v>90</v>
      </c>
      <c r="F7" s="9" t="s">
        <v>91</v>
      </c>
      <c r="G7" s="9" t="s">
        <v>18</v>
      </c>
      <c r="H7" s="9" t="s">
        <v>81</v>
      </c>
      <c r="I7" s="9" t="s">
        <v>92</v>
      </c>
      <c r="J7" s="10">
        <v>46252</v>
      </c>
    </row>
    <row r="8" ht="58" customHeight="1" spans="1:10">
      <c r="A8" s="8">
        <v>7</v>
      </c>
      <c r="B8" s="9" t="s">
        <v>93</v>
      </c>
      <c r="C8" s="9" t="s">
        <v>94</v>
      </c>
      <c r="D8" s="9" t="s">
        <v>89</v>
      </c>
      <c r="E8" s="9" t="s">
        <v>95</v>
      </c>
      <c r="F8" s="9" t="s">
        <v>74</v>
      </c>
      <c r="G8" s="9" t="s">
        <v>18</v>
      </c>
      <c r="H8" s="9" t="s">
        <v>81</v>
      </c>
      <c r="I8" s="9" t="s">
        <v>96</v>
      </c>
      <c r="J8" s="10">
        <v>46252</v>
      </c>
    </row>
    <row r="9" ht="58" customHeight="1" spans="1:10">
      <c r="A9" s="8">
        <v>8</v>
      </c>
      <c r="B9" s="9" t="s">
        <v>97</v>
      </c>
      <c r="C9" s="9" t="s">
        <v>98</v>
      </c>
      <c r="D9" s="9" t="s">
        <v>61</v>
      </c>
      <c r="E9" s="9" t="s">
        <v>62</v>
      </c>
      <c r="F9" s="9" t="s">
        <v>99</v>
      </c>
      <c r="G9" s="9" t="s">
        <v>18</v>
      </c>
      <c r="H9" s="9" t="s">
        <v>100</v>
      </c>
      <c r="I9" s="9" t="s">
        <v>65</v>
      </c>
      <c r="J9" s="10">
        <v>46252</v>
      </c>
    </row>
    <row r="10" ht="58" customHeight="1" spans="1:10">
      <c r="A10" s="8">
        <v>9</v>
      </c>
      <c r="B10" s="9" t="s">
        <v>101</v>
      </c>
      <c r="C10" s="9" t="s">
        <v>102</v>
      </c>
      <c r="D10" s="9" t="s">
        <v>89</v>
      </c>
      <c r="E10" s="9" t="s">
        <v>62</v>
      </c>
      <c r="F10" s="9" t="s">
        <v>103</v>
      </c>
      <c r="G10" s="9" t="s">
        <v>18</v>
      </c>
      <c r="H10" s="9" t="s">
        <v>104</v>
      </c>
      <c r="I10" s="9" t="s">
        <v>65</v>
      </c>
      <c r="J10" s="10">
        <v>46252</v>
      </c>
    </row>
    <row r="11" ht="58" customHeight="1" spans="1:10">
      <c r="A11" s="8">
        <v>10</v>
      </c>
      <c r="B11" s="9" t="s">
        <v>105</v>
      </c>
      <c r="C11" s="9" t="s">
        <v>106</v>
      </c>
      <c r="D11" s="9" t="s">
        <v>107</v>
      </c>
      <c r="E11" s="9" t="s">
        <v>62</v>
      </c>
      <c r="F11" s="9" t="s">
        <v>108</v>
      </c>
      <c r="G11" s="9" t="s">
        <v>18</v>
      </c>
      <c r="H11" s="9" t="s">
        <v>75</v>
      </c>
      <c r="I11" s="9" t="s">
        <v>109</v>
      </c>
      <c r="J11" s="10">
        <v>46252</v>
      </c>
    </row>
    <row r="12" ht="58" customHeight="1" spans="1:10">
      <c r="A12" s="8">
        <v>11</v>
      </c>
      <c r="B12" s="9" t="s">
        <v>110</v>
      </c>
      <c r="C12" s="9" t="s">
        <v>111</v>
      </c>
      <c r="D12" s="9" t="s">
        <v>112</v>
      </c>
      <c r="E12" s="9" t="s">
        <v>62</v>
      </c>
      <c r="F12" s="9" t="s">
        <v>113</v>
      </c>
      <c r="G12" s="9" t="s">
        <v>18</v>
      </c>
      <c r="H12" s="9" t="s">
        <v>75</v>
      </c>
      <c r="I12" s="9" t="s">
        <v>114</v>
      </c>
      <c r="J12" s="10">
        <v>46252</v>
      </c>
    </row>
    <row r="13" ht="58" customHeight="1" spans="1:10">
      <c r="A13" s="8">
        <v>12</v>
      </c>
      <c r="B13" s="9" t="s">
        <v>115</v>
      </c>
      <c r="C13" s="9" t="s">
        <v>116</v>
      </c>
      <c r="D13" s="9" t="s">
        <v>61</v>
      </c>
      <c r="E13" s="9" t="s">
        <v>62</v>
      </c>
      <c r="F13" s="9" t="s">
        <v>117</v>
      </c>
      <c r="G13" s="9" t="s">
        <v>18</v>
      </c>
      <c r="H13" s="9" t="s">
        <v>64</v>
      </c>
      <c r="I13" s="9" t="s">
        <v>65</v>
      </c>
      <c r="J13" s="10">
        <v>46252</v>
      </c>
    </row>
    <row r="14" ht="58" customHeight="1" spans="1:10">
      <c r="A14" s="8">
        <v>13</v>
      </c>
      <c r="B14" s="9" t="s">
        <v>118</v>
      </c>
      <c r="C14" s="9" t="s">
        <v>119</v>
      </c>
      <c r="D14" s="9" t="s">
        <v>89</v>
      </c>
      <c r="E14" s="9" t="s">
        <v>62</v>
      </c>
      <c r="F14" s="9" t="s">
        <v>120</v>
      </c>
      <c r="G14" s="9" t="s">
        <v>18</v>
      </c>
      <c r="H14" s="9" t="s">
        <v>104</v>
      </c>
      <c r="I14" s="9" t="s">
        <v>65</v>
      </c>
      <c r="J14" s="10">
        <v>46252</v>
      </c>
    </row>
    <row r="15" ht="58" customHeight="1" spans="1:10">
      <c r="A15" s="8">
        <v>14</v>
      </c>
      <c r="B15" s="9" t="s">
        <v>121</v>
      </c>
      <c r="C15" s="9" t="s">
        <v>122</v>
      </c>
      <c r="D15" s="9" t="s">
        <v>89</v>
      </c>
      <c r="E15" s="9" t="s">
        <v>62</v>
      </c>
      <c r="F15" s="9" t="s">
        <v>123</v>
      </c>
      <c r="G15" s="9" t="s">
        <v>18</v>
      </c>
      <c r="H15" s="9" t="s">
        <v>104</v>
      </c>
      <c r="I15" s="9" t="s">
        <v>65</v>
      </c>
      <c r="J15" s="10">
        <v>46252</v>
      </c>
    </row>
    <row r="16" ht="58" customHeight="1" spans="1:10">
      <c r="A16" s="8">
        <v>15</v>
      </c>
      <c r="B16" s="9" t="s">
        <v>124</v>
      </c>
      <c r="C16" s="9" t="s">
        <v>125</v>
      </c>
      <c r="D16" s="9" t="s">
        <v>61</v>
      </c>
      <c r="E16" s="9" t="s">
        <v>126</v>
      </c>
      <c r="F16" s="9" t="s">
        <v>68</v>
      </c>
      <c r="G16" s="9" t="s">
        <v>18</v>
      </c>
      <c r="H16" s="9" t="s">
        <v>69</v>
      </c>
      <c r="I16" s="9" t="s">
        <v>65</v>
      </c>
      <c r="J16" s="10">
        <v>46252</v>
      </c>
    </row>
    <row r="17" ht="58" customHeight="1" spans="1:10">
      <c r="A17" s="8">
        <v>16</v>
      </c>
      <c r="B17" s="9" t="s">
        <v>127</v>
      </c>
      <c r="C17" s="9" t="s">
        <v>128</v>
      </c>
      <c r="D17" s="9" t="s">
        <v>89</v>
      </c>
      <c r="E17" s="9" t="s">
        <v>62</v>
      </c>
      <c r="F17" s="9" t="s">
        <v>129</v>
      </c>
      <c r="G17" s="9" t="s">
        <v>18</v>
      </c>
      <c r="H17" s="9" t="s">
        <v>130</v>
      </c>
      <c r="I17" s="9" t="s">
        <v>65</v>
      </c>
      <c r="J17" s="10">
        <v>46252</v>
      </c>
    </row>
    <row r="18" ht="58" customHeight="1" spans="1:10">
      <c r="A18" s="8">
        <v>17</v>
      </c>
      <c r="B18" s="9" t="s">
        <v>131</v>
      </c>
      <c r="C18" s="9" t="s">
        <v>132</v>
      </c>
      <c r="D18" s="9" t="s">
        <v>133</v>
      </c>
      <c r="E18" s="9" t="s">
        <v>62</v>
      </c>
      <c r="F18" s="9" t="s">
        <v>134</v>
      </c>
      <c r="G18" s="9" t="s">
        <v>18</v>
      </c>
      <c r="H18" s="9" t="s">
        <v>75</v>
      </c>
      <c r="I18" s="9" t="s">
        <v>135</v>
      </c>
      <c r="J18" s="10">
        <v>46252</v>
      </c>
    </row>
    <row r="19" ht="58" customHeight="1" spans="1:10">
      <c r="A19" s="8">
        <v>18</v>
      </c>
      <c r="B19" s="9" t="s">
        <v>136</v>
      </c>
      <c r="C19" s="9" t="s">
        <v>137</v>
      </c>
      <c r="D19" s="9" t="s">
        <v>89</v>
      </c>
      <c r="E19" s="9" t="s">
        <v>62</v>
      </c>
      <c r="F19" s="9" t="s">
        <v>138</v>
      </c>
      <c r="G19" s="9" t="s">
        <v>18</v>
      </c>
      <c r="H19" s="9" t="s">
        <v>139</v>
      </c>
      <c r="I19" s="9" t="s">
        <v>65</v>
      </c>
      <c r="J19" s="10">
        <v>46252</v>
      </c>
    </row>
    <row r="20" ht="58" customHeight="1" spans="1:10">
      <c r="A20" s="8">
        <v>19</v>
      </c>
      <c r="B20" s="9" t="s">
        <v>140</v>
      </c>
      <c r="C20" s="9" t="s">
        <v>141</v>
      </c>
      <c r="D20" s="9" t="s">
        <v>142</v>
      </c>
      <c r="E20" s="9" t="s">
        <v>143</v>
      </c>
      <c r="F20" s="9" t="s">
        <v>144</v>
      </c>
      <c r="G20" s="9" t="s">
        <v>18</v>
      </c>
      <c r="H20" s="9" t="s">
        <v>81</v>
      </c>
      <c r="I20" s="9" t="s">
        <v>145</v>
      </c>
      <c r="J20" s="10">
        <v>46252</v>
      </c>
    </row>
    <row r="21" ht="58" customHeight="1" spans="1:10">
      <c r="A21" s="8">
        <v>20</v>
      </c>
      <c r="B21" s="9" t="s">
        <v>146</v>
      </c>
      <c r="C21" s="9" t="s">
        <v>98</v>
      </c>
      <c r="D21" s="9" t="s">
        <v>61</v>
      </c>
      <c r="E21" s="9" t="s">
        <v>62</v>
      </c>
      <c r="F21" s="9" t="s">
        <v>99</v>
      </c>
      <c r="G21" s="9" t="s">
        <v>18</v>
      </c>
      <c r="H21" s="9" t="s">
        <v>100</v>
      </c>
      <c r="I21" s="9" t="s">
        <v>65</v>
      </c>
      <c r="J21" s="10">
        <v>46252</v>
      </c>
    </row>
    <row r="22" ht="58" customHeight="1" spans="1:10">
      <c r="A22" s="8">
        <v>21</v>
      </c>
      <c r="B22" s="9" t="s">
        <v>147</v>
      </c>
      <c r="C22" s="9" t="s">
        <v>148</v>
      </c>
      <c r="D22" s="9" t="s">
        <v>89</v>
      </c>
      <c r="E22" s="9" t="s">
        <v>62</v>
      </c>
      <c r="F22" s="9" t="s">
        <v>149</v>
      </c>
      <c r="G22" s="9" t="s">
        <v>18</v>
      </c>
      <c r="H22" s="9" t="s">
        <v>104</v>
      </c>
      <c r="I22" s="9" t="s">
        <v>65</v>
      </c>
      <c r="J22" s="10">
        <v>46252</v>
      </c>
    </row>
    <row r="23" ht="58" customHeight="1" spans="1:10">
      <c r="A23" s="8">
        <v>22</v>
      </c>
      <c r="B23" s="9" t="s">
        <v>150</v>
      </c>
      <c r="C23" s="9" t="s">
        <v>151</v>
      </c>
      <c r="D23" s="9" t="s">
        <v>152</v>
      </c>
      <c r="E23" s="9" t="s">
        <v>62</v>
      </c>
      <c r="F23" s="9" t="s">
        <v>153</v>
      </c>
      <c r="G23" s="9" t="s">
        <v>18</v>
      </c>
      <c r="H23" s="9" t="s">
        <v>75</v>
      </c>
      <c r="I23" s="9" t="s">
        <v>154</v>
      </c>
      <c r="J23" s="10">
        <v>46252</v>
      </c>
    </row>
    <row r="24" ht="58" customHeight="1" spans="1:10">
      <c r="A24" s="8">
        <v>23</v>
      </c>
      <c r="B24" s="9" t="s">
        <v>155</v>
      </c>
      <c r="C24" s="9" t="s">
        <v>156</v>
      </c>
      <c r="D24" s="9" t="s">
        <v>61</v>
      </c>
      <c r="E24" s="9" t="s">
        <v>62</v>
      </c>
      <c r="F24" s="9" t="s">
        <v>157</v>
      </c>
      <c r="G24" s="9" t="s">
        <v>18</v>
      </c>
      <c r="H24" s="9" t="s">
        <v>158</v>
      </c>
      <c r="I24" s="9" t="s">
        <v>65</v>
      </c>
      <c r="J24" s="10">
        <v>46252</v>
      </c>
    </row>
    <row r="25" ht="58" customHeight="1" spans="1:10">
      <c r="A25" s="8">
        <v>24</v>
      </c>
      <c r="B25" s="9" t="s">
        <v>159</v>
      </c>
      <c r="C25" s="9" t="s">
        <v>160</v>
      </c>
      <c r="D25" s="9" t="s">
        <v>61</v>
      </c>
      <c r="E25" s="9" t="s">
        <v>161</v>
      </c>
      <c r="F25" s="9" t="s">
        <v>161</v>
      </c>
      <c r="G25" s="9" t="s">
        <v>18</v>
      </c>
      <c r="H25" s="9" t="s">
        <v>162</v>
      </c>
      <c r="I25" s="9" t="s">
        <v>65</v>
      </c>
      <c r="J25" s="10">
        <v>46252</v>
      </c>
    </row>
    <row r="26" ht="58" customHeight="1" spans="1:10">
      <c r="A26" s="8">
        <v>25</v>
      </c>
      <c r="B26" s="9" t="s">
        <v>163</v>
      </c>
      <c r="C26" s="9" t="s">
        <v>164</v>
      </c>
      <c r="D26" s="9" t="s">
        <v>89</v>
      </c>
      <c r="E26" s="9" t="s">
        <v>62</v>
      </c>
      <c r="F26" s="9" t="s">
        <v>80</v>
      </c>
      <c r="G26" s="9" t="s">
        <v>18</v>
      </c>
      <c r="H26" s="9" t="s">
        <v>75</v>
      </c>
      <c r="I26" s="9" t="s">
        <v>165</v>
      </c>
      <c r="J26" s="10">
        <v>46252</v>
      </c>
    </row>
    <row r="27" ht="58" customHeight="1" spans="1:10">
      <c r="A27" s="8">
        <v>26</v>
      </c>
      <c r="B27" s="9" t="s">
        <v>166</v>
      </c>
      <c r="C27" s="9" t="s">
        <v>167</v>
      </c>
      <c r="D27" s="9" t="s">
        <v>61</v>
      </c>
      <c r="E27" s="9" t="s">
        <v>62</v>
      </c>
      <c r="F27" s="9" t="s">
        <v>168</v>
      </c>
      <c r="G27" s="9" t="s">
        <v>18</v>
      </c>
      <c r="H27" s="9" t="s">
        <v>169</v>
      </c>
      <c r="I27" s="9" t="s">
        <v>65</v>
      </c>
      <c r="J27" s="10">
        <v>46252</v>
      </c>
    </row>
    <row r="28" ht="58" customHeight="1" spans="1:10">
      <c r="A28" s="8">
        <v>27</v>
      </c>
      <c r="B28" s="9" t="s">
        <v>170</v>
      </c>
      <c r="C28" s="9" t="s">
        <v>171</v>
      </c>
      <c r="D28" s="9" t="s">
        <v>172</v>
      </c>
      <c r="E28" s="9" t="s">
        <v>62</v>
      </c>
      <c r="F28" s="9" t="s">
        <v>173</v>
      </c>
      <c r="G28" s="9" t="s">
        <v>19</v>
      </c>
      <c r="H28" s="9" t="s">
        <v>174</v>
      </c>
      <c r="I28" s="9" t="s">
        <v>175</v>
      </c>
      <c r="J28" s="10">
        <v>46252</v>
      </c>
    </row>
    <row r="29" ht="58" customHeight="1" spans="1:10">
      <c r="A29" s="8">
        <v>28</v>
      </c>
      <c r="B29" s="9" t="s">
        <v>176</v>
      </c>
      <c r="C29" s="9" t="s">
        <v>177</v>
      </c>
      <c r="D29" s="9" t="s">
        <v>178</v>
      </c>
      <c r="E29" s="9" t="s">
        <v>62</v>
      </c>
      <c r="F29" s="9" t="s">
        <v>179</v>
      </c>
      <c r="G29" s="9" t="s">
        <v>19</v>
      </c>
      <c r="H29" s="9" t="s">
        <v>180</v>
      </c>
      <c r="I29" s="9" t="s">
        <v>181</v>
      </c>
      <c r="J29" s="10">
        <v>46252</v>
      </c>
    </row>
    <row r="30" ht="58" customHeight="1" spans="1:10">
      <c r="A30" s="8">
        <v>29</v>
      </c>
      <c r="B30" s="9" t="s">
        <v>182</v>
      </c>
      <c r="C30" s="9" t="s">
        <v>183</v>
      </c>
      <c r="D30" s="9" t="s">
        <v>184</v>
      </c>
      <c r="E30" s="9" t="s">
        <v>185</v>
      </c>
      <c r="F30" s="9" t="s">
        <v>186</v>
      </c>
      <c r="G30" s="9" t="s">
        <v>19</v>
      </c>
      <c r="H30" s="9" t="s">
        <v>81</v>
      </c>
      <c r="I30" s="9" t="s">
        <v>187</v>
      </c>
      <c r="J30" s="10">
        <v>46252</v>
      </c>
    </row>
    <row r="31" ht="58" customHeight="1" spans="1:10">
      <c r="A31" s="8">
        <v>30</v>
      </c>
      <c r="B31" s="9" t="s">
        <v>188</v>
      </c>
      <c r="C31" s="9" t="s">
        <v>189</v>
      </c>
      <c r="D31" s="9" t="s">
        <v>190</v>
      </c>
      <c r="E31" s="9" t="s">
        <v>62</v>
      </c>
      <c r="F31" s="9" t="s">
        <v>191</v>
      </c>
      <c r="G31" s="9" t="s">
        <v>19</v>
      </c>
      <c r="H31" s="9" t="s">
        <v>104</v>
      </c>
      <c r="I31" s="9" t="s">
        <v>192</v>
      </c>
      <c r="J31" s="10">
        <v>46252</v>
      </c>
    </row>
    <row r="32" ht="58" customHeight="1" spans="1:10">
      <c r="A32" s="8">
        <v>31</v>
      </c>
      <c r="B32" s="9" t="s">
        <v>193</v>
      </c>
      <c r="C32" s="9" t="s">
        <v>194</v>
      </c>
      <c r="D32" s="9" t="s">
        <v>184</v>
      </c>
      <c r="E32" s="9" t="s">
        <v>195</v>
      </c>
      <c r="F32" s="9" t="s">
        <v>196</v>
      </c>
      <c r="G32" s="9" t="s">
        <v>19</v>
      </c>
      <c r="H32" s="9" t="s">
        <v>81</v>
      </c>
      <c r="I32" s="9" t="s">
        <v>187</v>
      </c>
      <c r="J32" s="10">
        <v>46252</v>
      </c>
    </row>
    <row r="33" ht="58" customHeight="1" spans="1:10">
      <c r="A33" s="8">
        <v>32</v>
      </c>
      <c r="B33" s="9" t="s">
        <v>197</v>
      </c>
      <c r="C33" s="9" t="s">
        <v>198</v>
      </c>
      <c r="D33" s="9" t="s">
        <v>199</v>
      </c>
      <c r="E33" s="9" t="s">
        <v>62</v>
      </c>
      <c r="F33" s="9" t="s">
        <v>200</v>
      </c>
      <c r="G33" s="9" t="s">
        <v>20</v>
      </c>
      <c r="H33" s="9" t="s">
        <v>75</v>
      </c>
      <c r="I33" s="9" t="s">
        <v>201</v>
      </c>
      <c r="J33" s="10">
        <v>46252</v>
      </c>
    </row>
    <row r="34" ht="58" customHeight="1" spans="1:10">
      <c r="A34" s="8">
        <v>33</v>
      </c>
      <c r="B34" s="9" t="s">
        <v>202</v>
      </c>
      <c r="C34" s="9" t="s">
        <v>203</v>
      </c>
      <c r="D34" s="9" t="s">
        <v>89</v>
      </c>
      <c r="E34" s="9" t="s">
        <v>62</v>
      </c>
      <c r="F34" s="9" t="s">
        <v>200</v>
      </c>
      <c r="G34" s="9" t="s">
        <v>20</v>
      </c>
      <c r="H34" s="9" t="s">
        <v>75</v>
      </c>
      <c r="I34" s="9" t="s">
        <v>92</v>
      </c>
      <c r="J34" s="10">
        <v>46252</v>
      </c>
    </row>
    <row r="35" ht="58" customHeight="1" spans="1:10">
      <c r="A35" s="8">
        <v>34</v>
      </c>
      <c r="B35" s="9" t="s">
        <v>204</v>
      </c>
      <c r="C35" s="9" t="s">
        <v>205</v>
      </c>
      <c r="D35" s="9" t="s">
        <v>206</v>
      </c>
      <c r="E35" s="9" t="s">
        <v>62</v>
      </c>
      <c r="F35" s="9" t="s">
        <v>207</v>
      </c>
      <c r="G35" s="9" t="s">
        <v>23</v>
      </c>
      <c r="H35" s="9" t="s">
        <v>75</v>
      </c>
      <c r="I35" s="9" t="s">
        <v>208</v>
      </c>
      <c r="J35" s="10">
        <v>46252</v>
      </c>
    </row>
    <row r="36" ht="58" customHeight="1" spans="1:10">
      <c r="A36" s="8">
        <v>35</v>
      </c>
      <c r="B36" s="9" t="s">
        <v>209</v>
      </c>
      <c r="C36" s="9" t="s">
        <v>210</v>
      </c>
      <c r="D36" s="9" t="s">
        <v>211</v>
      </c>
      <c r="E36" s="9" t="s">
        <v>62</v>
      </c>
      <c r="F36" s="9" t="s">
        <v>212</v>
      </c>
      <c r="G36" s="9" t="s">
        <v>25</v>
      </c>
      <c r="H36" s="9" t="s">
        <v>75</v>
      </c>
      <c r="I36" s="9" t="s">
        <v>213</v>
      </c>
      <c r="J36" s="10">
        <v>46252</v>
      </c>
    </row>
    <row r="37" ht="58" customHeight="1" spans="1:10">
      <c r="A37" s="8">
        <v>36</v>
      </c>
      <c r="B37" s="9" t="s">
        <v>214</v>
      </c>
      <c r="C37" s="9" t="s">
        <v>215</v>
      </c>
      <c r="D37" s="9" t="s">
        <v>61</v>
      </c>
      <c r="E37" s="9" t="s">
        <v>216</v>
      </c>
      <c r="F37" s="9" t="s">
        <v>216</v>
      </c>
      <c r="G37" s="9" t="s">
        <v>26</v>
      </c>
      <c r="H37" s="9" t="s">
        <v>86</v>
      </c>
      <c r="I37" s="9" t="s">
        <v>65</v>
      </c>
      <c r="J37" s="10">
        <v>46252</v>
      </c>
    </row>
    <row r="38" ht="58" customHeight="1" spans="1:10">
      <c r="A38" s="8">
        <v>37</v>
      </c>
      <c r="B38" s="9" t="s">
        <v>217</v>
      </c>
      <c r="C38" s="9" t="s">
        <v>218</v>
      </c>
      <c r="D38" s="9" t="s">
        <v>219</v>
      </c>
      <c r="E38" s="9" t="s">
        <v>62</v>
      </c>
      <c r="F38" s="9" t="s">
        <v>220</v>
      </c>
      <c r="G38" s="9" t="s">
        <v>26</v>
      </c>
      <c r="H38" s="9" t="s">
        <v>75</v>
      </c>
      <c r="I38" s="9" t="s">
        <v>221</v>
      </c>
      <c r="J38" s="10">
        <v>46252</v>
      </c>
    </row>
    <row r="39" ht="58" customHeight="1" spans="1:10">
      <c r="A39" s="8">
        <v>38</v>
      </c>
      <c r="B39" s="9" t="s">
        <v>222</v>
      </c>
      <c r="C39" s="9" t="s">
        <v>223</v>
      </c>
      <c r="D39" s="9" t="s">
        <v>224</v>
      </c>
      <c r="E39" s="9" t="s">
        <v>225</v>
      </c>
      <c r="F39" s="9" t="s">
        <v>226</v>
      </c>
      <c r="G39" s="9" t="s">
        <v>26</v>
      </c>
      <c r="H39" s="9" t="s">
        <v>81</v>
      </c>
      <c r="I39" s="9" t="s">
        <v>227</v>
      </c>
      <c r="J39" s="10">
        <v>46252</v>
      </c>
    </row>
    <row r="40" ht="58" customHeight="1" spans="1:10">
      <c r="A40" s="8">
        <v>39</v>
      </c>
      <c r="B40" s="9" t="s">
        <v>228</v>
      </c>
      <c r="C40" s="9" t="s">
        <v>229</v>
      </c>
      <c r="D40" s="9" t="s">
        <v>89</v>
      </c>
      <c r="E40" s="9" t="s">
        <v>230</v>
      </c>
      <c r="F40" s="9" t="s">
        <v>230</v>
      </c>
      <c r="G40" s="9" t="s">
        <v>26</v>
      </c>
      <c r="H40" s="9" t="s">
        <v>81</v>
      </c>
      <c r="I40" s="9" t="s">
        <v>65</v>
      </c>
      <c r="J40" s="10">
        <v>46252</v>
      </c>
    </row>
    <row r="41" ht="58" customHeight="1" spans="1:10">
      <c r="A41" s="8">
        <v>40</v>
      </c>
      <c r="B41" s="9" t="s">
        <v>231</v>
      </c>
      <c r="C41" s="9" t="s">
        <v>232</v>
      </c>
      <c r="D41" s="9" t="s">
        <v>89</v>
      </c>
      <c r="E41" s="9" t="s">
        <v>62</v>
      </c>
      <c r="F41" s="9" t="s">
        <v>226</v>
      </c>
      <c r="G41" s="9" t="s">
        <v>26</v>
      </c>
      <c r="H41" s="9" t="s">
        <v>75</v>
      </c>
      <c r="I41" s="9" t="s">
        <v>92</v>
      </c>
      <c r="J41" s="10">
        <v>46252</v>
      </c>
    </row>
    <row r="42" ht="58" customHeight="1" spans="1:10">
      <c r="A42" s="8">
        <v>41</v>
      </c>
      <c r="B42" s="9" t="s">
        <v>233</v>
      </c>
      <c r="C42" s="9" t="s">
        <v>234</v>
      </c>
      <c r="D42" s="9" t="s">
        <v>89</v>
      </c>
      <c r="E42" s="9" t="s">
        <v>62</v>
      </c>
      <c r="F42" s="9" t="s">
        <v>220</v>
      </c>
      <c r="G42" s="9" t="s">
        <v>26</v>
      </c>
      <c r="H42" s="9" t="s">
        <v>75</v>
      </c>
      <c r="I42" s="9" t="s">
        <v>92</v>
      </c>
      <c r="J42" s="10">
        <v>46252</v>
      </c>
    </row>
    <row r="43" ht="58" customHeight="1" spans="1:10">
      <c r="A43" s="8">
        <v>42</v>
      </c>
      <c r="B43" s="9" t="s">
        <v>235</v>
      </c>
      <c r="C43" s="9" t="s">
        <v>236</v>
      </c>
      <c r="D43" s="9" t="s">
        <v>237</v>
      </c>
      <c r="E43" s="9" t="s">
        <v>62</v>
      </c>
      <c r="F43" s="9" t="s">
        <v>238</v>
      </c>
      <c r="G43" s="9" t="s">
        <v>26</v>
      </c>
      <c r="H43" s="9" t="s">
        <v>75</v>
      </c>
      <c r="I43" s="9" t="s">
        <v>239</v>
      </c>
      <c r="J43" s="10">
        <v>46252</v>
      </c>
    </row>
    <row r="44" ht="58" customHeight="1" spans="1:10">
      <c r="A44" s="8">
        <v>43</v>
      </c>
      <c r="B44" s="9" t="s">
        <v>240</v>
      </c>
      <c r="C44" s="9" t="s">
        <v>241</v>
      </c>
      <c r="D44" s="9" t="s">
        <v>61</v>
      </c>
      <c r="E44" s="9" t="s">
        <v>242</v>
      </c>
      <c r="F44" s="9" t="s">
        <v>242</v>
      </c>
      <c r="G44" s="9" t="s">
        <v>26</v>
      </c>
      <c r="H44" s="9" t="s">
        <v>86</v>
      </c>
      <c r="I44" s="9" t="s">
        <v>65</v>
      </c>
      <c r="J44" s="10">
        <v>46252</v>
      </c>
    </row>
    <row r="45" ht="58" customHeight="1" spans="1:10">
      <c r="A45" s="8">
        <v>44</v>
      </c>
      <c r="B45" s="9" t="s">
        <v>243</v>
      </c>
      <c r="C45" s="9" t="s">
        <v>244</v>
      </c>
      <c r="D45" s="9" t="s">
        <v>245</v>
      </c>
      <c r="E45" s="9" t="s">
        <v>62</v>
      </c>
      <c r="F45" s="9" t="s">
        <v>246</v>
      </c>
      <c r="G45" s="9" t="s">
        <v>26</v>
      </c>
      <c r="H45" s="9" t="s">
        <v>81</v>
      </c>
      <c r="I45" s="9" t="s">
        <v>247</v>
      </c>
      <c r="J45" s="10">
        <v>46252</v>
      </c>
    </row>
    <row r="46" ht="58" customHeight="1" spans="1:10">
      <c r="A46" s="8">
        <v>45</v>
      </c>
      <c r="B46" s="9" t="s">
        <v>248</v>
      </c>
      <c r="C46" s="9" t="s">
        <v>249</v>
      </c>
      <c r="D46" s="9" t="s">
        <v>89</v>
      </c>
      <c r="E46" s="9" t="s">
        <v>250</v>
      </c>
      <c r="F46" s="9" t="s">
        <v>251</v>
      </c>
      <c r="G46" s="9" t="s">
        <v>26</v>
      </c>
      <c r="H46" s="9" t="s">
        <v>81</v>
      </c>
      <c r="I46" s="9" t="s">
        <v>65</v>
      </c>
      <c r="J46" s="10">
        <v>46252</v>
      </c>
    </row>
    <row r="47" ht="58" customHeight="1" spans="1:10">
      <c r="A47" s="8">
        <v>46</v>
      </c>
      <c r="B47" s="9" t="s">
        <v>252</v>
      </c>
      <c r="C47" s="9" t="s">
        <v>253</v>
      </c>
      <c r="D47" s="9" t="s">
        <v>254</v>
      </c>
      <c r="E47" s="9" t="s">
        <v>62</v>
      </c>
      <c r="F47" s="9" t="s">
        <v>255</v>
      </c>
      <c r="G47" s="9" t="s">
        <v>27</v>
      </c>
      <c r="H47" s="9" t="s">
        <v>75</v>
      </c>
      <c r="I47" s="9" t="s">
        <v>256</v>
      </c>
      <c r="J47" s="10">
        <v>46252</v>
      </c>
    </row>
    <row r="48" ht="58" customHeight="1" spans="1:10">
      <c r="A48" s="8">
        <v>47</v>
      </c>
      <c r="B48" s="9" t="s">
        <v>257</v>
      </c>
      <c r="C48" s="9" t="s">
        <v>258</v>
      </c>
      <c r="D48" s="9" t="s">
        <v>61</v>
      </c>
      <c r="E48" s="9" t="s">
        <v>259</v>
      </c>
      <c r="F48" s="9" t="s">
        <v>259</v>
      </c>
      <c r="G48" s="9" t="s">
        <v>27</v>
      </c>
      <c r="H48" s="9" t="s">
        <v>86</v>
      </c>
      <c r="I48" s="9" t="s">
        <v>65</v>
      </c>
      <c r="J48" s="10">
        <v>46252</v>
      </c>
    </row>
    <row r="49" ht="58" customHeight="1" spans="1:10">
      <c r="A49" s="8">
        <v>48</v>
      </c>
      <c r="B49" s="9" t="s">
        <v>260</v>
      </c>
      <c r="C49" s="9" t="s">
        <v>261</v>
      </c>
      <c r="D49" s="9" t="s">
        <v>89</v>
      </c>
      <c r="E49" s="9" t="s">
        <v>62</v>
      </c>
      <c r="F49" s="9" t="s">
        <v>262</v>
      </c>
      <c r="G49" s="9" t="s">
        <v>27</v>
      </c>
      <c r="H49" s="9" t="s">
        <v>104</v>
      </c>
      <c r="I49" s="9" t="s">
        <v>65</v>
      </c>
      <c r="J49" s="10">
        <v>46252</v>
      </c>
    </row>
    <row r="50" ht="58" customHeight="1" spans="1:10">
      <c r="A50" s="8">
        <v>49</v>
      </c>
      <c r="B50" s="9" t="s">
        <v>263</v>
      </c>
      <c r="C50" s="9" t="s">
        <v>264</v>
      </c>
      <c r="D50" s="9" t="s">
        <v>61</v>
      </c>
      <c r="E50" s="9" t="s">
        <v>265</v>
      </c>
      <c r="F50" s="9" t="s">
        <v>265</v>
      </c>
      <c r="G50" s="9" t="s">
        <v>28</v>
      </c>
      <c r="H50" s="9" t="s">
        <v>86</v>
      </c>
      <c r="I50" s="9" t="s">
        <v>65</v>
      </c>
      <c r="J50" s="10">
        <v>46252</v>
      </c>
    </row>
    <row r="51" ht="58" customHeight="1" spans="1:10">
      <c r="A51" s="8">
        <v>50</v>
      </c>
      <c r="B51" s="9" t="s">
        <v>266</v>
      </c>
      <c r="C51" s="9" t="s">
        <v>267</v>
      </c>
      <c r="D51" s="9" t="s">
        <v>61</v>
      </c>
      <c r="E51" s="9" t="s">
        <v>268</v>
      </c>
      <c r="F51" s="9" t="s">
        <v>268</v>
      </c>
      <c r="G51" s="9" t="s">
        <v>28</v>
      </c>
      <c r="H51" s="9" t="s">
        <v>86</v>
      </c>
      <c r="I51" s="9" t="s">
        <v>65</v>
      </c>
      <c r="J51" s="10">
        <v>46252</v>
      </c>
    </row>
    <row r="52" ht="58" customHeight="1" spans="1:10">
      <c r="A52" s="8">
        <v>51</v>
      </c>
      <c r="B52" s="9" t="s">
        <v>269</v>
      </c>
      <c r="C52" s="9" t="s">
        <v>270</v>
      </c>
      <c r="D52" s="9" t="s">
        <v>271</v>
      </c>
      <c r="E52" s="9" t="s">
        <v>62</v>
      </c>
      <c r="F52" s="9" t="s">
        <v>272</v>
      </c>
      <c r="G52" s="9" t="s">
        <v>28</v>
      </c>
      <c r="H52" s="9" t="s">
        <v>75</v>
      </c>
      <c r="I52" s="9" t="s">
        <v>273</v>
      </c>
      <c r="J52" s="10">
        <v>46252</v>
      </c>
    </row>
    <row r="53" ht="58" customHeight="1" spans="1:10">
      <c r="A53" s="8">
        <v>52</v>
      </c>
      <c r="B53" s="9" t="s">
        <v>274</v>
      </c>
      <c r="C53" s="9" t="s">
        <v>275</v>
      </c>
      <c r="D53" s="9" t="s">
        <v>276</v>
      </c>
      <c r="E53" s="9" t="s">
        <v>277</v>
      </c>
      <c r="F53" s="9" t="s">
        <v>278</v>
      </c>
      <c r="G53" s="9" t="s">
        <v>28</v>
      </c>
      <c r="H53" s="9" t="s">
        <v>81</v>
      </c>
      <c r="I53" s="9" t="s">
        <v>279</v>
      </c>
      <c r="J53" s="10">
        <v>46252</v>
      </c>
    </row>
    <row r="54" ht="58" customHeight="1" spans="1:10">
      <c r="A54" s="8">
        <v>53</v>
      </c>
      <c r="B54" s="9" t="s">
        <v>280</v>
      </c>
      <c r="C54" s="9" t="s">
        <v>281</v>
      </c>
      <c r="D54" s="9" t="s">
        <v>61</v>
      </c>
      <c r="E54" s="9" t="s">
        <v>282</v>
      </c>
      <c r="F54" s="9" t="s">
        <v>282</v>
      </c>
      <c r="G54" s="9" t="s">
        <v>28</v>
      </c>
      <c r="H54" s="9" t="s">
        <v>86</v>
      </c>
      <c r="I54" s="9" t="s">
        <v>65</v>
      </c>
      <c r="J54" s="10">
        <v>46252</v>
      </c>
    </row>
    <row r="55" ht="58" customHeight="1" spans="1:10">
      <c r="A55" s="8">
        <v>54</v>
      </c>
      <c r="B55" s="9" t="s">
        <v>283</v>
      </c>
      <c r="C55" s="9" t="s">
        <v>284</v>
      </c>
      <c r="D55" s="9" t="s">
        <v>285</v>
      </c>
      <c r="E55" s="9" t="s">
        <v>286</v>
      </c>
      <c r="F55" s="9" t="s">
        <v>286</v>
      </c>
      <c r="G55" s="9" t="s">
        <v>28</v>
      </c>
      <c r="H55" s="9" t="s">
        <v>81</v>
      </c>
      <c r="I55" s="9" t="s">
        <v>287</v>
      </c>
      <c r="J55" s="10">
        <v>46252</v>
      </c>
    </row>
    <row r="56" ht="58" customHeight="1" spans="1:10">
      <c r="A56" s="8">
        <v>55</v>
      </c>
      <c r="B56" s="9" t="s">
        <v>288</v>
      </c>
      <c r="C56" s="9" t="s">
        <v>289</v>
      </c>
      <c r="D56" s="9" t="s">
        <v>89</v>
      </c>
      <c r="E56" s="9" t="s">
        <v>62</v>
      </c>
      <c r="F56" s="9" t="s">
        <v>278</v>
      </c>
      <c r="G56" s="9" t="s">
        <v>28</v>
      </c>
      <c r="H56" s="9" t="s">
        <v>75</v>
      </c>
      <c r="I56" s="9" t="s">
        <v>92</v>
      </c>
      <c r="J56" s="10">
        <v>46252</v>
      </c>
    </row>
    <row r="57" ht="58" customHeight="1" spans="1:10">
      <c r="A57" s="8">
        <v>56</v>
      </c>
      <c r="B57" s="9" t="s">
        <v>290</v>
      </c>
      <c r="C57" s="9" t="s">
        <v>291</v>
      </c>
      <c r="D57" s="9" t="s">
        <v>292</v>
      </c>
      <c r="E57" s="9" t="s">
        <v>277</v>
      </c>
      <c r="F57" s="9" t="s">
        <v>293</v>
      </c>
      <c r="G57" s="9" t="s">
        <v>28</v>
      </c>
      <c r="H57" s="9" t="s">
        <v>81</v>
      </c>
      <c r="I57" s="9" t="s">
        <v>294</v>
      </c>
      <c r="J57" s="10">
        <v>46252</v>
      </c>
    </row>
    <row r="58" ht="58" customHeight="1" spans="1:10">
      <c r="A58" s="8">
        <v>57</v>
      </c>
      <c r="B58" s="9" t="s">
        <v>295</v>
      </c>
      <c r="C58" s="9" t="s">
        <v>296</v>
      </c>
      <c r="D58" s="9" t="s">
        <v>61</v>
      </c>
      <c r="E58" s="9" t="s">
        <v>297</v>
      </c>
      <c r="F58" s="9" t="s">
        <v>297</v>
      </c>
      <c r="G58" s="9" t="s">
        <v>28</v>
      </c>
      <c r="H58" s="9" t="s">
        <v>86</v>
      </c>
      <c r="I58" s="9" t="s">
        <v>65</v>
      </c>
      <c r="J58" s="10">
        <v>46252</v>
      </c>
    </row>
    <row r="59" ht="58" customHeight="1" spans="1:10">
      <c r="A59" s="8">
        <v>58</v>
      </c>
      <c r="B59" s="9" t="s">
        <v>298</v>
      </c>
      <c r="C59" s="9" t="s">
        <v>299</v>
      </c>
      <c r="D59" s="9" t="s">
        <v>300</v>
      </c>
      <c r="E59" s="9" t="s">
        <v>62</v>
      </c>
      <c r="F59" s="9" t="s">
        <v>301</v>
      </c>
      <c r="G59" s="9" t="s">
        <v>29</v>
      </c>
      <c r="H59" s="9" t="s">
        <v>75</v>
      </c>
      <c r="I59" s="9" t="s">
        <v>302</v>
      </c>
      <c r="J59" s="10">
        <v>46252</v>
      </c>
    </row>
    <row r="60" ht="58" customHeight="1" spans="1:10">
      <c r="A60" s="8">
        <v>59</v>
      </c>
      <c r="B60" s="9" t="s">
        <v>303</v>
      </c>
      <c r="C60" s="9" t="s">
        <v>304</v>
      </c>
      <c r="D60" s="9" t="s">
        <v>305</v>
      </c>
      <c r="E60" s="9" t="s">
        <v>62</v>
      </c>
      <c r="F60" s="9" t="s">
        <v>306</v>
      </c>
      <c r="G60" s="9" t="s">
        <v>29</v>
      </c>
      <c r="H60" s="9" t="s">
        <v>75</v>
      </c>
      <c r="I60" s="9" t="s">
        <v>307</v>
      </c>
      <c r="J60" s="10">
        <v>46252</v>
      </c>
    </row>
    <row r="61" ht="58" customHeight="1" spans="1:10">
      <c r="A61" s="8">
        <v>60</v>
      </c>
      <c r="B61" s="9" t="s">
        <v>308</v>
      </c>
      <c r="C61" s="9" t="s">
        <v>309</v>
      </c>
      <c r="D61" s="9" t="s">
        <v>310</v>
      </c>
      <c r="E61" s="9" t="s">
        <v>62</v>
      </c>
      <c r="F61" s="9" t="s">
        <v>301</v>
      </c>
      <c r="G61" s="9" t="s">
        <v>29</v>
      </c>
      <c r="H61" s="9" t="s">
        <v>75</v>
      </c>
      <c r="I61" s="9" t="s">
        <v>311</v>
      </c>
      <c r="J61" s="10">
        <v>46252</v>
      </c>
    </row>
    <row r="62" ht="58" customHeight="1" spans="1:10">
      <c r="A62" s="8">
        <v>61</v>
      </c>
      <c r="B62" s="9" t="s">
        <v>312</v>
      </c>
      <c r="C62" s="9" t="s">
        <v>313</v>
      </c>
      <c r="D62" s="9" t="s">
        <v>61</v>
      </c>
      <c r="E62" s="9" t="s">
        <v>314</v>
      </c>
      <c r="F62" s="9" t="s">
        <v>314</v>
      </c>
      <c r="G62" s="9" t="s">
        <v>32</v>
      </c>
      <c r="H62" s="9" t="s">
        <v>86</v>
      </c>
      <c r="I62" s="9" t="s">
        <v>65</v>
      </c>
      <c r="J62" s="10">
        <v>46252</v>
      </c>
    </row>
    <row r="63" ht="58" customHeight="1" spans="1:10">
      <c r="A63" s="8">
        <v>62</v>
      </c>
      <c r="B63" s="9" t="s">
        <v>315</v>
      </c>
      <c r="C63" s="9" t="s">
        <v>316</v>
      </c>
      <c r="D63" s="9" t="s">
        <v>89</v>
      </c>
      <c r="E63" s="9" t="s">
        <v>62</v>
      </c>
      <c r="F63" s="9" t="s">
        <v>317</v>
      </c>
      <c r="G63" s="9" t="s">
        <v>32</v>
      </c>
      <c r="H63" s="9" t="s">
        <v>75</v>
      </c>
      <c r="I63" s="9" t="s">
        <v>92</v>
      </c>
      <c r="J63" s="10">
        <v>46252</v>
      </c>
    </row>
    <row r="64" ht="58" customHeight="1" spans="1:10">
      <c r="A64" s="8">
        <v>63</v>
      </c>
      <c r="B64" s="9" t="s">
        <v>318</v>
      </c>
      <c r="C64" s="9" t="s">
        <v>319</v>
      </c>
      <c r="D64" s="9" t="s">
        <v>89</v>
      </c>
      <c r="E64" s="9" t="s">
        <v>62</v>
      </c>
      <c r="F64" s="9" t="s">
        <v>320</v>
      </c>
      <c r="G64" s="9" t="s">
        <v>33</v>
      </c>
      <c r="H64" s="9" t="s">
        <v>321</v>
      </c>
      <c r="I64" s="9" t="s">
        <v>65</v>
      </c>
      <c r="J64" s="10">
        <v>46252</v>
      </c>
    </row>
    <row r="65" ht="58" customHeight="1" spans="1:10">
      <c r="A65" s="8">
        <v>64</v>
      </c>
      <c r="B65" s="9" t="s">
        <v>322</v>
      </c>
      <c r="C65" s="9" t="s">
        <v>323</v>
      </c>
      <c r="D65" s="9" t="s">
        <v>61</v>
      </c>
      <c r="E65" s="9" t="s">
        <v>324</v>
      </c>
      <c r="F65" s="9" t="s">
        <v>324</v>
      </c>
      <c r="G65" s="9" t="s">
        <v>34</v>
      </c>
      <c r="H65" s="9" t="s">
        <v>86</v>
      </c>
      <c r="I65" s="9" t="s">
        <v>65</v>
      </c>
      <c r="J65" s="10">
        <v>46252</v>
      </c>
    </row>
    <row r="66" ht="58" customHeight="1" spans="1:10">
      <c r="A66" s="8">
        <v>65</v>
      </c>
      <c r="B66" s="9" t="s">
        <v>325</v>
      </c>
      <c r="C66" s="9" t="s">
        <v>326</v>
      </c>
      <c r="D66" s="9" t="s">
        <v>89</v>
      </c>
      <c r="E66" s="9" t="s">
        <v>62</v>
      </c>
      <c r="F66" s="9" t="s">
        <v>327</v>
      </c>
      <c r="G66" s="9" t="s">
        <v>34</v>
      </c>
      <c r="H66" s="9" t="s">
        <v>75</v>
      </c>
      <c r="I66" s="9" t="s">
        <v>92</v>
      </c>
      <c r="J66" s="10">
        <v>46252</v>
      </c>
    </row>
    <row r="67" ht="58" customHeight="1" spans="1:10">
      <c r="A67" s="8">
        <v>66</v>
      </c>
      <c r="B67" s="9" t="s">
        <v>328</v>
      </c>
      <c r="C67" s="9" t="s">
        <v>329</v>
      </c>
      <c r="D67" s="9" t="s">
        <v>330</v>
      </c>
      <c r="E67" s="9" t="s">
        <v>62</v>
      </c>
      <c r="F67" s="9" t="s">
        <v>331</v>
      </c>
      <c r="G67" s="9" t="s">
        <v>35</v>
      </c>
      <c r="H67" s="9" t="s">
        <v>75</v>
      </c>
      <c r="I67" s="9" t="s">
        <v>332</v>
      </c>
      <c r="J67" s="10">
        <v>46252</v>
      </c>
    </row>
    <row r="68" ht="58" customHeight="1" spans="1:10">
      <c r="A68" s="8">
        <v>67</v>
      </c>
      <c r="B68" s="9" t="s">
        <v>333</v>
      </c>
      <c r="C68" s="9" t="s">
        <v>334</v>
      </c>
      <c r="D68" s="9" t="s">
        <v>89</v>
      </c>
      <c r="E68" s="9" t="s">
        <v>62</v>
      </c>
      <c r="F68" s="9" t="s">
        <v>335</v>
      </c>
      <c r="G68" s="9" t="s">
        <v>35</v>
      </c>
      <c r="H68" s="9" t="s">
        <v>75</v>
      </c>
      <c r="I68" s="9" t="s">
        <v>92</v>
      </c>
      <c r="J68" s="10">
        <v>46252</v>
      </c>
    </row>
    <row r="69" ht="58" customHeight="1" spans="1:10">
      <c r="A69" s="8">
        <v>68</v>
      </c>
      <c r="B69" s="9" t="s">
        <v>336</v>
      </c>
      <c r="C69" s="9" t="s">
        <v>337</v>
      </c>
      <c r="D69" s="9" t="s">
        <v>89</v>
      </c>
      <c r="E69" s="9" t="s">
        <v>338</v>
      </c>
      <c r="F69" s="9" t="s">
        <v>339</v>
      </c>
      <c r="G69" s="9" t="s">
        <v>36</v>
      </c>
      <c r="H69" s="9" t="s">
        <v>81</v>
      </c>
      <c r="I69" s="9" t="s">
        <v>65</v>
      </c>
      <c r="J69" s="10">
        <v>46252</v>
      </c>
    </row>
    <row r="70" ht="58" customHeight="1" spans="1:10">
      <c r="A70" s="8">
        <v>69</v>
      </c>
      <c r="B70" s="9" t="s">
        <v>340</v>
      </c>
      <c r="C70" s="9" t="s">
        <v>341</v>
      </c>
      <c r="D70" s="9" t="s">
        <v>61</v>
      </c>
      <c r="E70" s="9" t="s">
        <v>342</v>
      </c>
      <c r="F70" s="9" t="s">
        <v>342</v>
      </c>
      <c r="G70" s="9" t="s">
        <v>36</v>
      </c>
      <c r="H70" s="9" t="s">
        <v>86</v>
      </c>
      <c r="I70" s="9" t="s">
        <v>65</v>
      </c>
      <c r="J70" s="10">
        <v>46252</v>
      </c>
    </row>
    <row r="71" ht="58" customHeight="1" spans="1:10">
      <c r="A71" s="8">
        <v>70</v>
      </c>
      <c r="B71" s="9" t="s">
        <v>343</v>
      </c>
      <c r="C71" s="9" t="s">
        <v>344</v>
      </c>
      <c r="D71" s="9" t="s">
        <v>89</v>
      </c>
      <c r="E71" s="9" t="s">
        <v>345</v>
      </c>
      <c r="F71" s="9" t="s">
        <v>346</v>
      </c>
      <c r="G71" s="9" t="s">
        <v>36</v>
      </c>
      <c r="H71" s="9" t="s">
        <v>81</v>
      </c>
      <c r="I71" s="9" t="s">
        <v>65</v>
      </c>
      <c r="J71" s="10">
        <v>46252</v>
      </c>
    </row>
    <row r="72" ht="58" customHeight="1" spans="1:10">
      <c r="A72" s="8">
        <v>71</v>
      </c>
      <c r="B72" s="9" t="s">
        <v>347</v>
      </c>
      <c r="C72" s="9" t="s">
        <v>348</v>
      </c>
      <c r="D72" s="9" t="s">
        <v>89</v>
      </c>
      <c r="E72" s="9" t="s">
        <v>62</v>
      </c>
      <c r="F72" s="9" t="s">
        <v>349</v>
      </c>
      <c r="G72" s="9" t="s">
        <v>36</v>
      </c>
      <c r="H72" s="9" t="s">
        <v>75</v>
      </c>
      <c r="I72" s="9" t="s">
        <v>65</v>
      </c>
      <c r="J72" s="10">
        <v>46252</v>
      </c>
    </row>
    <row r="73" ht="58" customHeight="1" spans="1:10">
      <c r="A73" s="8">
        <v>72</v>
      </c>
      <c r="B73" s="9" t="s">
        <v>350</v>
      </c>
      <c r="C73" s="9" t="s">
        <v>351</v>
      </c>
      <c r="D73" s="9" t="s">
        <v>352</v>
      </c>
      <c r="E73" s="9" t="s">
        <v>353</v>
      </c>
      <c r="F73" s="9" t="s">
        <v>346</v>
      </c>
      <c r="G73" s="9" t="s">
        <v>36</v>
      </c>
      <c r="H73" s="9" t="s">
        <v>81</v>
      </c>
      <c r="I73" s="9" t="s">
        <v>354</v>
      </c>
      <c r="J73" s="10">
        <v>46252</v>
      </c>
    </row>
    <row r="74" ht="58" customHeight="1" spans="1:10">
      <c r="A74" s="8">
        <v>73</v>
      </c>
      <c r="B74" s="9" t="s">
        <v>355</v>
      </c>
      <c r="C74" s="9" t="s">
        <v>356</v>
      </c>
      <c r="D74" s="9" t="s">
        <v>61</v>
      </c>
      <c r="E74" s="9" t="s">
        <v>357</v>
      </c>
      <c r="F74" s="9" t="s">
        <v>357</v>
      </c>
      <c r="G74" s="9" t="s">
        <v>36</v>
      </c>
      <c r="H74" s="9" t="s">
        <v>86</v>
      </c>
      <c r="I74" s="9" t="s">
        <v>65</v>
      </c>
      <c r="J74" s="10">
        <v>46252</v>
      </c>
    </row>
    <row r="75" ht="58" customHeight="1" spans="1:10">
      <c r="A75" s="8">
        <v>74</v>
      </c>
      <c r="B75" s="9" t="s">
        <v>358</v>
      </c>
      <c r="C75" s="9" t="s">
        <v>359</v>
      </c>
      <c r="D75" s="9" t="s">
        <v>89</v>
      </c>
      <c r="E75" s="9" t="s">
        <v>62</v>
      </c>
      <c r="F75" s="9" t="s">
        <v>360</v>
      </c>
      <c r="G75" s="9" t="s">
        <v>36</v>
      </c>
      <c r="H75" s="9" t="s">
        <v>75</v>
      </c>
      <c r="I75" s="9" t="s">
        <v>92</v>
      </c>
      <c r="J75" s="10">
        <v>46252</v>
      </c>
    </row>
    <row r="76" ht="58" customHeight="1" spans="1:10">
      <c r="A76" s="8">
        <v>75</v>
      </c>
      <c r="B76" s="9" t="s">
        <v>361</v>
      </c>
      <c r="C76" s="9" t="s">
        <v>362</v>
      </c>
      <c r="D76" s="9" t="s">
        <v>363</v>
      </c>
      <c r="E76" s="9" t="s">
        <v>364</v>
      </c>
      <c r="F76" s="9" t="s">
        <v>365</v>
      </c>
      <c r="G76" s="9" t="s">
        <v>38</v>
      </c>
      <c r="H76" s="9" t="s">
        <v>81</v>
      </c>
      <c r="I76" s="9" t="s">
        <v>366</v>
      </c>
      <c r="J76" s="10">
        <v>46252</v>
      </c>
    </row>
    <row r="77" ht="58" customHeight="1" spans="1:10">
      <c r="A77" s="8">
        <v>76</v>
      </c>
      <c r="B77" s="9" t="s">
        <v>367</v>
      </c>
      <c r="C77" s="9" t="s">
        <v>368</v>
      </c>
      <c r="D77" s="9" t="s">
        <v>89</v>
      </c>
      <c r="E77" s="9" t="s">
        <v>369</v>
      </c>
      <c r="F77" s="9" t="s">
        <v>370</v>
      </c>
      <c r="G77" s="9" t="s">
        <v>39</v>
      </c>
      <c r="H77" s="9" t="s">
        <v>81</v>
      </c>
      <c r="I77" s="9" t="s">
        <v>92</v>
      </c>
      <c r="J77" s="10">
        <v>46252</v>
      </c>
    </row>
    <row r="78" ht="58" customHeight="1" spans="1:10">
      <c r="A78" s="8">
        <v>77</v>
      </c>
      <c r="B78" s="9" t="s">
        <v>371</v>
      </c>
      <c r="C78" s="9" t="s">
        <v>372</v>
      </c>
      <c r="D78" s="9" t="s">
        <v>89</v>
      </c>
      <c r="E78" s="9" t="s">
        <v>62</v>
      </c>
      <c r="F78" s="9" t="s">
        <v>373</v>
      </c>
      <c r="G78" s="9" t="s">
        <v>39</v>
      </c>
      <c r="H78" s="9" t="s">
        <v>75</v>
      </c>
      <c r="I78" s="9" t="s">
        <v>92</v>
      </c>
      <c r="J78" s="10">
        <v>46252</v>
      </c>
    </row>
    <row r="79" ht="58" customHeight="1" spans="1:10">
      <c r="A79" s="8">
        <v>78</v>
      </c>
      <c r="B79" s="9" t="s">
        <v>374</v>
      </c>
      <c r="C79" s="9" t="s">
        <v>375</v>
      </c>
      <c r="D79" s="9" t="s">
        <v>89</v>
      </c>
      <c r="E79" s="9" t="s">
        <v>376</v>
      </c>
      <c r="F79" s="9" t="s">
        <v>377</v>
      </c>
      <c r="G79" s="9" t="s">
        <v>40</v>
      </c>
      <c r="H79" s="9" t="s">
        <v>81</v>
      </c>
      <c r="I79" s="9" t="s">
        <v>378</v>
      </c>
      <c r="J79" s="10">
        <v>46252</v>
      </c>
    </row>
    <row r="80" ht="58" customHeight="1" spans="1:10">
      <c r="A80" s="8">
        <v>79</v>
      </c>
      <c r="B80" s="9" t="s">
        <v>379</v>
      </c>
      <c r="C80" s="9" t="s">
        <v>380</v>
      </c>
      <c r="D80" s="9" t="s">
        <v>381</v>
      </c>
      <c r="E80" s="9" t="s">
        <v>382</v>
      </c>
      <c r="F80" s="9" t="s">
        <v>377</v>
      </c>
      <c r="G80" s="9" t="s">
        <v>40</v>
      </c>
      <c r="H80" s="9" t="s">
        <v>81</v>
      </c>
      <c r="I80" s="9" t="s">
        <v>383</v>
      </c>
      <c r="J80" s="10">
        <v>46252</v>
      </c>
    </row>
    <row r="81" ht="58" customHeight="1" spans="1:10">
      <c r="A81" s="8">
        <v>80</v>
      </c>
      <c r="B81" s="9" t="s">
        <v>384</v>
      </c>
      <c r="C81" s="9" t="s">
        <v>385</v>
      </c>
      <c r="D81" s="9" t="s">
        <v>386</v>
      </c>
      <c r="E81" s="9" t="s">
        <v>62</v>
      </c>
      <c r="F81" s="9" t="s">
        <v>387</v>
      </c>
      <c r="G81" s="9" t="s">
        <v>40</v>
      </c>
      <c r="H81" s="9" t="s">
        <v>75</v>
      </c>
      <c r="I81" s="9" t="s">
        <v>388</v>
      </c>
      <c r="J81" s="10">
        <v>46252</v>
      </c>
    </row>
    <row r="82" ht="58" customHeight="1" spans="1:10">
      <c r="A82" s="8">
        <v>81</v>
      </c>
      <c r="B82" s="9" t="s">
        <v>389</v>
      </c>
      <c r="C82" s="9" t="s">
        <v>390</v>
      </c>
      <c r="D82" s="9" t="s">
        <v>391</v>
      </c>
      <c r="E82" s="9" t="s">
        <v>62</v>
      </c>
      <c r="F82" s="9" t="s">
        <v>392</v>
      </c>
      <c r="G82" s="9" t="s">
        <v>42</v>
      </c>
      <c r="H82" s="9" t="s">
        <v>75</v>
      </c>
      <c r="I82" s="9" t="s">
        <v>393</v>
      </c>
      <c r="J82" s="10">
        <v>46252</v>
      </c>
    </row>
    <row r="83" ht="58" customHeight="1" spans="1:10">
      <c r="A83" s="8">
        <v>82</v>
      </c>
      <c r="B83" s="9" t="s">
        <v>394</v>
      </c>
      <c r="C83" s="9" t="s">
        <v>395</v>
      </c>
      <c r="D83" s="9" t="s">
        <v>89</v>
      </c>
      <c r="E83" s="9" t="s">
        <v>62</v>
      </c>
      <c r="F83" s="9" t="s">
        <v>396</v>
      </c>
      <c r="G83" s="9" t="s">
        <v>44</v>
      </c>
      <c r="H83" s="9" t="s">
        <v>75</v>
      </c>
      <c r="I83" s="9" t="s">
        <v>65</v>
      </c>
      <c r="J83" s="10">
        <v>46252</v>
      </c>
    </row>
    <row r="84" ht="58" customHeight="1" spans="1:10">
      <c r="A84" s="8">
        <v>83</v>
      </c>
      <c r="B84" s="9" t="s">
        <v>397</v>
      </c>
      <c r="C84" s="9" t="s">
        <v>398</v>
      </c>
      <c r="D84" s="9" t="s">
        <v>399</v>
      </c>
      <c r="E84" s="9" t="s">
        <v>400</v>
      </c>
      <c r="F84" s="9" t="s">
        <v>396</v>
      </c>
      <c r="G84" s="9" t="s">
        <v>44</v>
      </c>
      <c r="H84" s="9" t="s">
        <v>81</v>
      </c>
      <c r="I84" s="9" t="s">
        <v>401</v>
      </c>
      <c r="J84" s="10">
        <v>46252</v>
      </c>
    </row>
    <row r="85" ht="58" customHeight="1" spans="1:10">
      <c r="A85" s="8">
        <v>84</v>
      </c>
      <c r="B85" s="9" t="s">
        <v>402</v>
      </c>
      <c r="C85" s="9" t="s">
        <v>403</v>
      </c>
      <c r="D85" s="9" t="s">
        <v>404</v>
      </c>
      <c r="E85" s="9" t="s">
        <v>62</v>
      </c>
      <c r="F85" s="9" t="s">
        <v>396</v>
      </c>
      <c r="G85" s="9" t="s">
        <v>44</v>
      </c>
      <c r="H85" s="9" t="s">
        <v>130</v>
      </c>
      <c r="I85" s="9" t="s">
        <v>405</v>
      </c>
      <c r="J85" s="10">
        <v>46252</v>
      </c>
    </row>
    <row r="86" ht="58" customHeight="1" spans="1:10">
      <c r="A86" s="11">
        <v>85</v>
      </c>
      <c r="B86" s="12" t="s">
        <v>406</v>
      </c>
      <c r="C86" s="12" t="s">
        <v>407</v>
      </c>
      <c r="D86" s="12" t="s">
        <v>89</v>
      </c>
      <c r="E86" s="12" t="s">
        <v>62</v>
      </c>
      <c r="F86" s="12" t="s">
        <v>408</v>
      </c>
      <c r="G86" s="12" t="s">
        <v>49</v>
      </c>
      <c r="H86" s="12" t="s">
        <v>174</v>
      </c>
      <c r="I86" s="12" t="s">
        <v>92</v>
      </c>
      <c r="J86" s="13">
        <v>46252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showGridLines="0" workbookViewId="0">
      <selection activeCell="A1" sqref="A1"/>
    </sheetView>
  </sheetViews>
  <sheetFormatPr defaultColWidth="9" defaultRowHeight="14.5"/>
  <cols>
    <col min="1" max="1" width="7" customWidth="1"/>
    <col min="2" max="2" width="14" customWidth="1"/>
    <col min="3" max="3" width="42" customWidth="1"/>
    <col min="4" max="4" width="55" customWidth="1"/>
    <col min="5" max="5" width="35" customWidth="1"/>
    <col min="6" max="6" width="34" customWidth="1"/>
    <col min="7" max="7" width="14" customWidth="1"/>
    <col min="8" max="8" width="16" customWidth="1"/>
    <col min="9" max="9" width="60" customWidth="1"/>
    <col min="10" max="10" width="13" customWidth="1"/>
  </cols>
  <sheetData>
    <row r="1" ht="30" customHeight="1" spans="1:10">
      <c r="A1" s="1" t="s">
        <v>52</v>
      </c>
      <c r="B1" s="1" t="s">
        <v>53</v>
      </c>
      <c r="C1" s="1" t="s">
        <v>54</v>
      </c>
      <c r="D1" s="1" t="s">
        <v>7</v>
      </c>
      <c r="E1" s="1" t="s">
        <v>9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1</v>
      </c>
    </row>
    <row r="2" ht="58" customHeight="1" spans="1:10">
      <c r="A2" s="5">
        <v>1</v>
      </c>
      <c r="B2" s="6" t="s">
        <v>59</v>
      </c>
      <c r="C2" s="6" t="s">
        <v>60</v>
      </c>
      <c r="D2" s="6" t="s">
        <v>61</v>
      </c>
      <c r="E2" s="6" t="s">
        <v>62</v>
      </c>
      <c r="F2" s="6" t="s">
        <v>63</v>
      </c>
      <c r="G2" s="6" t="s">
        <v>18</v>
      </c>
      <c r="H2" s="6" t="s">
        <v>64</v>
      </c>
      <c r="I2" s="6" t="s">
        <v>65</v>
      </c>
      <c r="J2" s="7">
        <v>46252</v>
      </c>
    </row>
    <row r="3" ht="58" customHeight="1" spans="1:10">
      <c r="A3" s="8">
        <v>2</v>
      </c>
      <c r="B3" s="9" t="s">
        <v>66</v>
      </c>
      <c r="C3" s="9" t="s">
        <v>67</v>
      </c>
      <c r="D3" s="9" t="s">
        <v>61</v>
      </c>
      <c r="E3" s="9" t="s">
        <v>62</v>
      </c>
      <c r="F3" s="9" t="s">
        <v>68</v>
      </c>
      <c r="G3" s="9" t="s">
        <v>18</v>
      </c>
      <c r="H3" s="9" t="s">
        <v>69</v>
      </c>
      <c r="I3" s="9" t="s">
        <v>65</v>
      </c>
      <c r="J3" s="10">
        <v>46252</v>
      </c>
    </row>
    <row r="4" ht="58" customHeight="1" spans="1:10">
      <c r="A4" s="8">
        <v>3</v>
      </c>
      <c r="B4" s="9" t="s">
        <v>70</v>
      </c>
      <c r="C4" s="9" t="s">
        <v>71</v>
      </c>
      <c r="D4" s="9" t="s">
        <v>72</v>
      </c>
      <c r="E4" s="9" t="s">
        <v>73</v>
      </c>
      <c r="F4" s="9" t="s">
        <v>74</v>
      </c>
      <c r="G4" s="9" t="s">
        <v>18</v>
      </c>
      <c r="H4" s="9" t="s">
        <v>75</v>
      </c>
      <c r="I4" s="9" t="s">
        <v>76</v>
      </c>
      <c r="J4" s="10">
        <v>46252</v>
      </c>
    </row>
    <row r="5" ht="58" customHeight="1" spans="1:10">
      <c r="A5" s="8">
        <v>4</v>
      </c>
      <c r="B5" s="9" t="s">
        <v>77</v>
      </c>
      <c r="C5" s="9" t="s">
        <v>78</v>
      </c>
      <c r="D5" s="9" t="s">
        <v>72</v>
      </c>
      <c r="E5" s="9" t="s">
        <v>79</v>
      </c>
      <c r="F5" s="9" t="s">
        <v>80</v>
      </c>
      <c r="G5" s="9" t="s">
        <v>18</v>
      </c>
      <c r="H5" s="9" t="s">
        <v>81</v>
      </c>
      <c r="I5" s="9" t="s">
        <v>82</v>
      </c>
      <c r="J5" s="10">
        <v>46252</v>
      </c>
    </row>
    <row r="6" ht="58" customHeight="1" spans="1:10">
      <c r="A6" s="8">
        <v>5</v>
      </c>
      <c r="B6" s="9" t="s">
        <v>83</v>
      </c>
      <c r="C6" s="9" t="s">
        <v>84</v>
      </c>
      <c r="D6" s="9" t="s">
        <v>61</v>
      </c>
      <c r="E6" s="9" t="s">
        <v>85</v>
      </c>
      <c r="F6" s="9" t="s">
        <v>85</v>
      </c>
      <c r="G6" s="9" t="s">
        <v>18</v>
      </c>
      <c r="H6" s="9" t="s">
        <v>86</v>
      </c>
      <c r="I6" s="9" t="s">
        <v>65</v>
      </c>
      <c r="J6" s="10">
        <v>46252</v>
      </c>
    </row>
    <row r="7" ht="58" customHeight="1" spans="1:10">
      <c r="A7" s="8">
        <v>6</v>
      </c>
      <c r="B7" s="9" t="s">
        <v>87</v>
      </c>
      <c r="C7" s="9" t="s">
        <v>88</v>
      </c>
      <c r="D7" s="9" t="s">
        <v>89</v>
      </c>
      <c r="E7" s="9" t="s">
        <v>90</v>
      </c>
      <c r="F7" s="9" t="s">
        <v>91</v>
      </c>
      <c r="G7" s="9" t="s">
        <v>18</v>
      </c>
      <c r="H7" s="9" t="s">
        <v>81</v>
      </c>
      <c r="I7" s="9" t="s">
        <v>92</v>
      </c>
      <c r="J7" s="10">
        <v>46252</v>
      </c>
    </row>
    <row r="8" ht="58" customHeight="1" spans="1:10">
      <c r="A8" s="8">
        <v>7</v>
      </c>
      <c r="B8" s="9" t="s">
        <v>93</v>
      </c>
      <c r="C8" s="9" t="s">
        <v>94</v>
      </c>
      <c r="D8" s="9" t="s">
        <v>89</v>
      </c>
      <c r="E8" s="9" t="s">
        <v>95</v>
      </c>
      <c r="F8" s="9" t="s">
        <v>74</v>
      </c>
      <c r="G8" s="9" t="s">
        <v>18</v>
      </c>
      <c r="H8" s="9" t="s">
        <v>81</v>
      </c>
      <c r="I8" s="9" t="s">
        <v>96</v>
      </c>
      <c r="J8" s="10">
        <v>46252</v>
      </c>
    </row>
    <row r="9" ht="58" customHeight="1" spans="1:10">
      <c r="A9" s="8">
        <v>8</v>
      </c>
      <c r="B9" s="9" t="s">
        <v>97</v>
      </c>
      <c r="C9" s="9" t="s">
        <v>98</v>
      </c>
      <c r="D9" s="9" t="s">
        <v>61</v>
      </c>
      <c r="E9" s="9" t="s">
        <v>62</v>
      </c>
      <c r="F9" s="9" t="s">
        <v>99</v>
      </c>
      <c r="G9" s="9" t="s">
        <v>18</v>
      </c>
      <c r="H9" s="9" t="s">
        <v>100</v>
      </c>
      <c r="I9" s="9" t="s">
        <v>65</v>
      </c>
      <c r="J9" s="10">
        <v>46252</v>
      </c>
    </row>
    <row r="10" ht="58" customHeight="1" spans="1:10">
      <c r="A10" s="8">
        <v>9</v>
      </c>
      <c r="B10" s="9" t="s">
        <v>101</v>
      </c>
      <c r="C10" s="9" t="s">
        <v>102</v>
      </c>
      <c r="D10" s="9" t="s">
        <v>89</v>
      </c>
      <c r="E10" s="9" t="s">
        <v>62</v>
      </c>
      <c r="F10" s="9" t="s">
        <v>103</v>
      </c>
      <c r="G10" s="9" t="s">
        <v>18</v>
      </c>
      <c r="H10" s="9" t="s">
        <v>104</v>
      </c>
      <c r="I10" s="9" t="s">
        <v>65</v>
      </c>
      <c r="J10" s="10">
        <v>46252</v>
      </c>
    </row>
    <row r="11" ht="58" customHeight="1" spans="1:10">
      <c r="A11" s="8">
        <v>10</v>
      </c>
      <c r="B11" s="9" t="s">
        <v>105</v>
      </c>
      <c r="C11" s="9" t="s">
        <v>106</v>
      </c>
      <c r="D11" s="9" t="s">
        <v>107</v>
      </c>
      <c r="E11" s="9" t="s">
        <v>62</v>
      </c>
      <c r="F11" s="9" t="s">
        <v>108</v>
      </c>
      <c r="G11" s="9" t="s">
        <v>18</v>
      </c>
      <c r="H11" s="9" t="s">
        <v>75</v>
      </c>
      <c r="I11" s="9" t="s">
        <v>109</v>
      </c>
      <c r="J11" s="10">
        <v>46252</v>
      </c>
    </row>
    <row r="12" ht="58" customHeight="1" spans="1:10">
      <c r="A12" s="8">
        <v>11</v>
      </c>
      <c r="B12" s="9" t="s">
        <v>110</v>
      </c>
      <c r="C12" s="9" t="s">
        <v>111</v>
      </c>
      <c r="D12" s="9" t="s">
        <v>112</v>
      </c>
      <c r="E12" s="9" t="s">
        <v>62</v>
      </c>
      <c r="F12" s="9" t="s">
        <v>113</v>
      </c>
      <c r="G12" s="9" t="s">
        <v>18</v>
      </c>
      <c r="H12" s="9" t="s">
        <v>75</v>
      </c>
      <c r="I12" s="9" t="s">
        <v>114</v>
      </c>
      <c r="J12" s="10">
        <v>46252</v>
      </c>
    </row>
    <row r="13" ht="58" customHeight="1" spans="1:10">
      <c r="A13" s="8">
        <v>12</v>
      </c>
      <c r="B13" s="9" t="s">
        <v>115</v>
      </c>
      <c r="C13" s="9" t="s">
        <v>116</v>
      </c>
      <c r="D13" s="9" t="s">
        <v>61</v>
      </c>
      <c r="E13" s="9" t="s">
        <v>62</v>
      </c>
      <c r="F13" s="9" t="s">
        <v>117</v>
      </c>
      <c r="G13" s="9" t="s">
        <v>18</v>
      </c>
      <c r="H13" s="9" t="s">
        <v>64</v>
      </c>
      <c r="I13" s="9" t="s">
        <v>65</v>
      </c>
      <c r="J13" s="10">
        <v>46252</v>
      </c>
    </row>
    <row r="14" ht="58" customHeight="1" spans="1:10">
      <c r="A14" s="8">
        <v>13</v>
      </c>
      <c r="B14" s="9" t="s">
        <v>118</v>
      </c>
      <c r="C14" s="9" t="s">
        <v>119</v>
      </c>
      <c r="D14" s="9" t="s">
        <v>89</v>
      </c>
      <c r="E14" s="9" t="s">
        <v>62</v>
      </c>
      <c r="F14" s="9" t="s">
        <v>120</v>
      </c>
      <c r="G14" s="9" t="s">
        <v>18</v>
      </c>
      <c r="H14" s="9" t="s">
        <v>104</v>
      </c>
      <c r="I14" s="9" t="s">
        <v>65</v>
      </c>
      <c r="J14" s="10">
        <v>46252</v>
      </c>
    </row>
    <row r="15" ht="58" customHeight="1" spans="1:10">
      <c r="A15" s="8">
        <v>14</v>
      </c>
      <c r="B15" s="9" t="s">
        <v>121</v>
      </c>
      <c r="C15" s="9" t="s">
        <v>122</v>
      </c>
      <c r="D15" s="9" t="s">
        <v>89</v>
      </c>
      <c r="E15" s="9" t="s">
        <v>62</v>
      </c>
      <c r="F15" s="9" t="s">
        <v>123</v>
      </c>
      <c r="G15" s="9" t="s">
        <v>18</v>
      </c>
      <c r="H15" s="9" t="s">
        <v>104</v>
      </c>
      <c r="I15" s="9" t="s">
        <v>65</v>
      </c>
      <c r="J15" s="10">
        <v>46252</v>
      </c>
    </row>
    <row r="16" ht="58" customHeight="1" spans="1:10">
      <c r="A16" s="8">
        <v>15</v>
      </c>
      <c r="B16" s="9" t="s">
        <v>124</v>
      </c>
      <c r="C16" s="9" t="s">
        <v>125</v>
      </c>
      <c r="D16" s="9" t="s">
        <v>61</v>
      </c>
      <c r="E16" s="9" t="s">
        <v>126</v>
      </c>
      <c r="F16" s="9" t="s">
        <v>68</v>
      </c>
      <c r="G16" s="9" t="s">
        <v>18</v>
      </c>
      <c r="H16" s="9" t="s">
        <v>69</v>
      </c>
      <c r="I16" s="9" t="s">
        <v>65</v>
      </c>
      <c r="J16" s="10">
        <v>46252</v>
      </c>
    </row>
    <row r="17" ht="58" customHeight="1" spans="1:10">
      <c r="A17" s="8">
        <v>16</v>
      </c>
      <c r="B17" s="9" t="s">
        <v>127</v>
      </c>
      <c r="C17" s="9" t="s">
        <v>128</v>
      </c>
      <c r="D17" s="9" t="s">
        <v>89</v>
      </c>
      <c r="E17" s="9" t="s">
        <v>62</v>
      </c>
      <c r="F17" s="9" t="s">
        <v>129</v>
      </c>
      <c r="G17" s="9" t="s">
        <v>18</v>
      </c>
      <c r="H17" s="9" t="s">
        <v>130</v>
      </c>
      <c r="I17" s="9" t="s">
        <v>65</v>
      </c>
      <c r="J17" s="10">
        <v>46252</v>
      </c>
    </row>
    <row r="18" ht="58" customHeight="1" spans="1:10">
      <c r="A18" s="8">
        <v>17</v>
      </c>
      <c r="B18" s="9" t="s">
        <v>131</v>
      </c>
      <c r="C18" s="9" t="s">
        <v>132</v>
      </c>
      <c r="D18" s="9" t="s">
        <v>133</v>
      </c>
      <c r="E18" s="9" t="s">
        <v>62</v>
      </c>
      <c r="F18" s="9" t="s">
        <v>134</v>
      </c>
      <c r="G18" s="9" t="s">
        <v>18</v>
      </c>
      <c r="H18" s="9" t="s">
        <v>75</v>
      </c>
      <c r="I18" s="9" t="s">
        <v>135</v>
      </c>
      <c r="J18" s="10">
        <v>46252</v>
      </c>
    </row>
    <row r="19" ht="58" customHeight="1" spans="1:10">
      <c r="A19" s="8">
        <v>18</v>
      </c>
      <c r="B19" s="9" t="s">
        <v>136</v>
      </c>
      <c r="C19" s="9" t="s">
        <v>137</v>
      </c>
      <c r="D19" s="9" t="s">
        <v>89</v>
      </c>
      <c r="E19" s="9" t="s">
        <v>62</v>
      </c>
      <c r="F19" s="9" t="s">
        <v>138</v>
      </c>
      <c r="G19" s="9" t="s">
        <v>18</v>
      </c>
      <c r="H19" s="9" t="s">
        <v>139</v>
      </c>
      <c r="I19" s="9" t="s">
        <v>65</v>
      </c>
      <c r="J19" s="10">
        <v>46252</v>
      </c>
    </row>
    <row r="20" ht="58" customHeight="1" spans="1:10">
      <c r="A20" s="8">
        <v>19</v>
      </c>
      <c r="B20" s="9" t="s">
        <v>140</v>
      </c>
      <c r="C20" s="9" t="s">
        <v>141</v>
      </c>
      <c r="D20" s="9" t="s">
        <v>142</v>
      </c>
      <c r="E20" s="9" t="s">
        <v>143</v>
      </c>
      <c r="F20" s="9" t="s">
        <v>144</v>
      </c>
      <c r="G20" s="9" t="s">
        <v>18</v>
      </c>
      <c r="H20" s="9" t="s">
        <v>81</v>
      </c>
      <c r="I20" s="9" t="s">
        <v>145</v>
      </c>
      <c r="J20" s="10">
        <v>46252</v>
      </c>
    </row>
    <row r="21" ht="58" customHeight="1" spans="1:10">
      <c r="A21" s="8">
        <v>20</v>
      </c>
      <c r="B21" s="9" t="s">
        <v>146</v>
      </c>
      <c r="C21" s="9" t="s">
        <v>98</v>
      </c>
      <c r="D21" s="9" t="s">
        <v>61</v>
      </c>
      <c r="E21" s="9" t="s">
        <v>62</v>
      </c>
      <c r="F21" s="9" t="s">
        <v>99</v>
      </c>
      <c r="G21" s="9" t="s">
        <v>18</v>
      </c>
      <c r="H21" s="9" t="s">
        <v>100</v>
      </c>
      <c r="I21" s="9" t="s">
        <v>65</v>
      </c>
      <c r="J21" s="10">
        <v>46252</v>
      </c>
    </row>
    <row r="22" ht="58" customHeight="1" spans="1:10">
      <c r="A22" s="8">
        <v>21</v>
      </c>
      <c r="B22" s="9" t="s">
        <v>147</v>
      </c>
      <c r="C22" s="9" t="s">
        <v>148</v>
      </c>
      <c r="D22" s="9" t="s">
        <v>89</v>
      </c>
      <c r="E22" s="9" t="s">
        <v>62</v>
      </c>
      <c r="F22" s="9" t="s">
        <v>149</v>
      </c>
      <c r="G22" s="9" t="s">
        <v>18</v>
      </c>
      <c r="H22" s="9" t="s">
        <v>104</v>
      </c>
      <c r="I22" s="9" t="s">
        <v>65</v>
      </c>
      <c r="J22" s="10">
        <v>46252</v>
      </c>
    </row>
    <row r="23" ht="58" customHeight="1" spans="1:10">
      <c r="A23" s="8">
        <v>22</v>
      </c>
      <c r="B23" s="9" t="s">
        <v>150</v>
      </c>
      <c r="C23" s="9" t="s">
        <v>151</v>
      </c>
      <c r="D23" s="9" t="s">
        <v>152</v>
      </c>
      <c r="E23" s="9" t="s">
        <v>62</v>
      </c>
      <c r="F23" s="9" t="s">
        <v>153</v>
      </c>
      <c r="G23" s="9" t="s">
        <v>18</v>
      </c>
      <c r="H23" s="9" t="s">
        <v>75</v>
      </c>
      <c r="I23" s="9" t="s">
        <v>154</v>
      </c>
      <c r="J23" s="10">
        <v>46252</v>
      </c>
    </row>
    <row r="24" ht="58" customHeight="1" spans="1:10">
      <c r="A24" s="8">
        <v>23</v>
      </c>
      <c r="B24" s="9" t="s">
        <v>155</v>
      </c>
      <c r="C24" s="9" t="s">
        <v>156</v>
      </c>
      <c r="D24" s="9" t="s">
        <v>61</v>
      </c>
      <c r="E24" s="9" t="s">
        <v>62</v>
      </c>
      <c r="F24" s="9" t="s">
        <v>157</v>
      </c>
      <c r="G24" s="9" t="s">
        <v>18</v>
      </c>
      <c r="H24" s="9" t="s">
        <v>158</v>
      </c>
      <c r="I24" s="9" t="s">
        <v>65</v>
      </c>
      <c r="J24" s="10">
        <v>46252</v>
      </c>
    </row>
    <row r="25" ht="58" customHeight="1" spans="1:10">
      <c r="A25" s="8">
        <v>24</v>
      </c>
      <c r="B25" s="9" t="s">
        <v>159</v>
      </c>
      <c r="C25" s="9" t="s">
        <v>160</v>
      </c>
      <c r="D25" s="9" t="s">
        <v>61</v>
      </c>
      <c r="E25" s="9" t="s">
        <v>161</v>
      </c>
      <c r="F25" s="9" t="s">
        <v>161</v>
      </c>
      <c r="G25" s="9" t="s">
        <v>18</v>
      </c>
      <c r="H25" s="9" t="s">
        <v>162</v>
      </c>
      <c r="I25" s="9" t="s">
        <v>65</v>
      </c>
      <c r="J25" s="10">
        <v>46252</v>
      </c>
    </row>
    <row r="26" ht="58" customHeight="1" spans="1:10">
      <c r="A26" s="8">
        <v>25</v>
      </c>
      <c r="B26" s="9" t="s">
        <v>163</v>
      </c>
      <c r="C26" s="9" t="s">
        <v>164</v>
      </c>
      <c r="D26" s="9" t="s">
        <v>89</v>
      </c>
      <c r="E26" s="9" t="s">
        <v>62</v>
      </c>
      <c r="F26" s="9" t="s">
        <v>80</v>
      </c>
      <c r="G26" s="9" t="s">
        <v>18</v>
      </c>
      <c r="H26" s="9" t="s">
        <v>75</v>
      </c>
      <c r="I26" s="9" t="s">
        <v>165</v>
      </c>
      <c r="J26" s="10">
        <v>46252</v>
      </c>
    </row>
    <row r="27" ht="58" customHeight="1" spans="1:10">
      <c r="A27" s="11">
        <v>26</v>
      </c>
      <c r="B27" s="12" t="s">
        <v>166</v>
      </c>
      <c r="C27" s="12" t="s">
        <v>167</v>
      </c>
      <c r="D27" s="12" t="s">
        <v>61</v>
      </c>
      <c r="E27" s="12" t="s">
        <v>62</v>
      </c>
      <c r="F27" s="12" t="s">
        <v>168</v>
      </c>
      <c r="G27" s="12" t="s">
        <v>18</v>
      </c>
      <c r="H27" s="12" t="s">
        <v>169</v>
      </c>
      <c r="I27" s="12" t="s">
        <v>65</v>
      </c>
      <c r="J27" s="13">
        <v>46252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showGridLines="0" workbookViewId="0">
      <selection activeCell="A1" sqref="A1"/>
    </sheetView>
  </sheetViews>
  <sheetFormatPr defaultColWidth="9" defaultRowHeight="14.5" outlineLevelRow="5"/>
  <cols>
    <col min="1" max="1" width="7" customWidth="1"/>
    <col min="2" max="2" width="14" customWidth="1"/>
    <col min="3" max="3" width="42" customWidth="1"/>
    <col min="4" max="4" width="55" customWidth="1"/>
    <col min="5" max="5" width="35" customWidth="1"/>
    <col min="6" max="6" width="34" customWidth="1"/>
    <col min="7" max="7" width="14" customWidth="1"/>
    <col min="8" max="8" width="16" customWidth="1"/>
    <col min="9" max="9" width="60" customWidth="1"/>
    <col min="10" max="10" width="13" customWidth="1"/>
  </cols>
  <sheetData>
    <row r="1" ht="30" customHeight="1" spans="1:10">
      <c r="A1" s="1" t="s">
        <v>52</v>
      </c>
      <c r="B1" s="1" t="s">
        <v>53</v>
      </c>
      <c r="C1" s="1" t="s">
        <v>54</v>
      </c>
      <c r="D1" s="1" t="s">
        <v>7</v>
      </c>
      <c r="E1" s="1" t="s">
        <v>9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1</v>
      </c>
    </row>
    <row r="2" ht="58" customHeight="1" spans="1:10">
      <c r="A2" s="5">
        <v>1</v>
      </c>
      <c r="B2" s="6" t="s">
        <v>170</v>
      </c>
      <c r="C2" s="6" t="s">
        <v>171</v>
      </c>
      <c r="D2" s="6" t="s">
        <v>172</v>
      </c>
      <c r="E2" s="6" t="s">
        <v>62</v>
      </c>
      <c r="F2" s="6" t="s">
        <v>173</v>
      </c>
      <c r="G2" s="6" t="s">
        <v>19</v>
      </c>
      <c r="H2" s="6" t="s">
        <v>174</v>
      </c>
      <c r="I2" s="6" t="s">
        <v>175</v>
      </c>
      <c r="J2" s="7">
        <v>46252</v>
      </c>
    </row>
    <row r="3" ht="58" customHeight="1" spans="1:10">
      <c r="A3" s="8">
        <v>2</v>
      </c>
      <c r="B3" s="9" t="s">
        <v>176</v>
      </c>
      <c r="C3" s="9" t="s">
        <v>177</v>
      </c>
      <c r="D3" s="9" t="s">
        <v>178</v>
      </c>
      <c r="E3" s="9" t="s">
        <v>62</v>
      </c>
      <c r="F3" s="9" t="s">
        <v>179</v>
      </c>
      <c r="G3" s="9" t="s">
        <v>19</v>
      </c>
      <c r="H3" s="9" t="s">
        <v>180</v>
      </c>
      <c r="I3" s="9" t="s">
        <v>181</v>
      </c>
      <c r="J3" s="10">
        <v>46252</v>
      </c>
    </row>
    <row r="4" ht="58" customHeight="1" spans="1:10">
      <c r="A4" s="8">
        <v>3</v>
      </c>
      <c r="B4" s="9" t="s">
        <v>182</v>
      </c>
      <c r="C4" s="9" t="s">
        <v>183</v>
      </c>
      <c r="D4" s="9" t="s">
        <v>184</v>
      </c>
      <c r="E4" s="9" t="s">
        <v>185</v>
      </c>
      <c r="F4" s="9" t="s">
        <v>186</v>
      </c>
      <c r="G4" s="9" t="s">
        <v>19</v>
      </c>
      <c r="H4" s="9" t="s">
        <v>81</v>
      </c>
      <c r="I4" s="9" t="s">
        <v>187</v>
      </c>
      <c r="J4" s="10">
        <v>46252</v>
      </c>
    </row>
    <row r="5" ht="58" customHeight="1" spans="1:10">
      <c r="A5" s="8">
        <v>4</v>
      </c>
      <c r="B5" s="9" t="s">
        <v>188</v>
      </c>
      <c r="C5" s="9" t="s">
        <v>189</v>
      </c>
      <c r="D5" s="9" t="s">
        <v>190</v>
      </c>
      <c r="E5" s="9" t="s">
        <v>62</v>
      </c>
      <c r="F5" s="9" t="s">
        <v>191</v>
      </c>
      <c r="G5" s="9" t="s">
        <v>19</v>
      </c>
      <c r="H5" s="9" t="s">
        <v>104</v>
      </c>
      <c r="I5" s="9" t="s">
        <v>192</v>
      </c>
      <c r="J5" s="10">
        <v>46252</v>
      </c>
    </row>
    <row r="6" ht="58" customHeight="1" spans="1:10">
      <c r="A6" s="11">
        <v>5</v>
      </c>
      <c r="B6" s="12" t="s">
        <v>193</v>
      </c>
      <c r="C6" s="12" t="s">
        <v>194</v>
      </c>
      <c r="D6" s="12" t="s">
        <v>184</v>
      </c>
      <c r="E6" s="12" t="s">
        <v>195</v>
      </c>
      <c r="F6" s="12" t="s">
        <v>196</v>
      </c>
      <c r="G6" s="12" t="s">
        <v>19</v>
      </c>
      <c r="H6" s="12" t="s">
        <v>81</v>
      </c>
      <c r="I6" s="12" t="s">
        <v>187</v>
      </c>
      <c r="J6" s="13">
        <v>46252</v>
      </c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showGridLines="0" workbookViewId="0">
      <selection activeCell="A1" sqref="A1"/>
    </sheetView>
  </sheetViews>
  <sheetFormatPr defaultColWidth="9" defaultRowHeight="14.5" outlineLevelRow="2"/>
  <cols>
    <col min="1" max="1" width="7" customWidth="1"/>
    <col min="2" max="2" width="14" customWidth="1"/>
    <col min="3" max="3" width="42" customWidth="1"/>
    <col min="4" max="4" width="55" customWidth="1"/>
    <col min="5" max="5" width="35" customWidth="1"/>
    <col min="6" max="6" width="34" customWidth="1"/>
    <col min="7" max="7" width="14" customWidth="1"/>
    <col min="8" max="8" width="16" customWidth="1"/>
    <col min="9" max="9" width="60" customWidth="1"/>
    <col min="10" max="10" width="13" customWidth="1"/>
  </cols>
  <sheetData>
    <row r="1" ht="30" customHeight="1" spans="1:10">
      <c r="A1" s="1" t="s">
        <v>52</v>
      </c>
      <c r="B1" s="1" t="s">
        <v>53</v>
      </c>
      <c r="C1" s="1" t="s">
        <v>54</v>
      </c>
      <c r="D1" s="1" t="s">
        <v>7</v>
      </c>
      <c r="E1" s="1" t="s">
        <v>9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1</v>
      </c>
    </row>
    <row r="2" ht="58" customHeight="1" spans="1:10">
      <c r="A2" s="5">
        <v>1</v>
      </c>
      <c r="B2" s="6" t="s">
        <v>197</v>
      </c>
      <c r="C2" s="6" t="s">
        <v>198</v>
      </c>
      <c r="D2" s="6" t="s">
        <v>199</v>
      </c>
      <c r="E2" s="6" t="s">
        <v>62</v>
      </c>
      <c r="F2" s="6" t="s">
        <v>200</v>
      </c>
      <c r="G2" s="6" t="s">
        <v>20</v>
      </c>
      <c r="H2" s="6" t="s">
        <v>75</v>
      </c>
      <c r="I2" s="6" t="s">
        <v>201</v>
      </c>
      <c r="J2" s="7">
        <v>46252</v>
      </c>
    </row>
    <row r="3" ht="58" customHeight="1" spans="1:10">
      <c r="A3" s="11">
        <v>2</v>
      </c>
      <c r="B3" s="12" t="s">
        <v>202</v>
      </c>
      <c r="C3" s="12" t="s">
        <v>203</v>
      </c>
      <c r="D3" s="12" t="s">
        <v>89</v>
      </c>
      <c r="E3" s="12" t="s">
        <v>62</v>
      </c>
      <c r="F3" s="12" t="s">
        <v>200</v>
      </c>
      <c r="G3" s="12" t="s">
        <v>20</v>
      </c>
      <c r="H3" s="12" t="s">
        <v>75</v>
      </c>
      <c r="I3" s="12" t="s">
        <v>92</v>
      </c>
      <c r="J3" s="13">
        <v>46252</v>
      </c>
    </row>
  </sheetData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showGridLines="0" workbookViewId="0">
      <selection activeCell="A1" sqref="A1"/>
    </sheetView>
  </sheetViews>
  <sheetFormatPr defaultColWidth="9" defaultRowHeight="14.5" outlineLevelRow="1"/>
  <cols>
    <col min="1" max="1" width="7" customWidth="1"/>
    <col min="2" max="2" width="14" customWidth="1"/>
    <col min="3" max="3" width="42" customWidth="1"/>
    <col min="4" max="4" width="55" customWidth="1"/>
    <col min="5" max="5" width="35" customWidth="1"/>
    <col min="6" max="6" width="34" customWidth="1"/>
    <col min="7" max="7" width="14" customWidth="1"/>
    <col min="8" max="8" width="16" customWidth="1"/>
    <col min="9" max="9" width="60" customWidth="1"/>
    <col min="10" max="10" width="13" customWidth="1"/>
  </cols>
  <sheetData>
    <row r="1" ht="30" customHeight="1" spans="1:10">
      <c r="A1" s="1" t="s">
        <v>52</v>
      </c>
      <c r="B1" s="1" t="s">
        <v>53</v>
      </c>
      <c r="C1" s="1" t="s">
        <v>54</v>
      </c>
      <c r="D1" s="1" t="s">
        <v>7</v>
      </c>
      <c r="E1" s="1" t="s">
        <v>9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1</v>
      </c>
    </row>
    <row r="2" ht="58" customHeight="1" spans="1:10">
      <c r="A2" s="2">
        <v>1</v>
      </c>
      <c r="B2" s="3" t="s">
        <v>204</v>
      </c>
      <c r="C2" s="3" t="s">
        <v>205</v>
      </c>
      <c r="D2" s="3" t="s">
        <v>206</v>
      </c>
      <c r="E2" s="3" t="s">
        <v>62</v>
      </c>
      <c r="F2" s="3" t="s">
        <v>207</v>
      </c>
      <c r="G2" s="3" t="s">
        <v>23</v>
      </c>
      <c r="H2" s="3" t="s">
        <v>75</v>
      </c>
      <c r="I2" s="3" t="s">
        <v>208</v>
      </c>
      <c r="J2" s="4">
        <v>46252</v>
      </c>
    </row>
  </sheetData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showGridLines="0" workbookViewId="0">
      <selection activeCell="A1" sqref="A1"/>
    </sheetView>
  </sheetViews>
  <sheetFormatPr defaultColWidth="9" defaultRowHeight="14.5" outlineLevelRow="1"/>
  <cols>
    <col min="1" max="1" width="7" customWidth="1"/>
    <col min="2" max="2" width="14" customWidth="1"/>
    <col min="3" max="3" width="42" customWidth="1"/>
    <col min="4" max="4" width="55" customWidth="1"/>
    <col min="5" max="5" width="35" customWidth="1"/>
    <col min="6" max="6" width="34" customWidth="1"/>
    <col min="7" max="7" width="14" customWidth="1"/>
    <col min="8" max="8" width="16" customWidth="1"/>
    <col min="9" max="9" width="60" customWidth="1"/>
    <col min="10" max="10" width="13" customWidth="1"/>
  </cols>
  <sheetData>
    <row r="1" ht="30" customHeight="1" spans="1:10">
      <c r="A1" s="1" t="s">
        <v>52</v>
      </c>
      <c r="B1" s="1" t="s">
        <v>53</v>
      </c>
      <c r="C1" s="1" t="s">
        <v>54</v>
      </c>
      <c r="D1" s="1" t="s">
        <v>7</v>
      </c>
      <c r="E1" s="1" t="s">
        <v>9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1</v>
      </c>
    </row>
    <row r="2" ht="58" customHeight="1" spans="1:10">
      <c r="A2" s="2">
        <v>1</v>
      </c>
      <c r="B2" s="3" t="s">
        <v>209</v>
      </c>
      <c r="C2" s="3" t="s">
        <v>210</v>
      </c>
      <c r="D2" s="3" t="s">
        <v>211</v>
      </c>
      <c r="E2" s="3" t="s">
        <v>62</v>
      </c>
      <c r="F2" s="3" t="s">
        <v>212</v>
      </c>
      <c r="G2" s="3" t="s">
        <v>25</v>
      </c>
      <c r="H2" s="3" t="s">
        <v>75</v>
      </c>
      <c r="I2" s="3" t="s">
        <v>213</v>
      </c>
      <c r="J2" s="4">
        <v>46252</v>
      </c>
    </row>
  </sheetData>
  <pageMargins left="0.7" right="0.7" top="0.75" bottom="0.75" header="0.3" footer="0.3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showGridLines="0" workbookViewId="0">
      <selection activeCell="A1" sqref="A1"/>
    </sheetView>
  </sheetViews>
  <sheetFormatPr defaultColWidth="9" defaultRowHeight="14.5"/>
  <cols>
    <col min="1" max="1" width="7" customWidth="1"/>
    <col min="2" max="2" width="14" customWidth="1"/>
    <col min="3" max="3" width="42" customWidth="1"/>
    <col min="4" max="4" width="55" customWidth="1"/>
    <col min="5" max="5" width="35" customWidth="1"/>
    <col min="6" max="6" width="34" customWidth="1"/>
    <col min="7" max="7" width="14" customWidth="1"/>
    <col min="8" max="8" width="16" customWidth="1"/>
    <col min="9" max="9" width="60" customWidth="1"/>
    <col min="10" max="10" width="13" customWidth="1"/>
  </cols>
  <sheetData>
    <row r="1" ht="30" customHeight="1" spans="1:10">
      <c r="A1" s="1" t="s">
        <v>52</v>
      </c>
      <c r="B1" s="1" t="s">
        <v>53</v>
      </c>
      <c r="C1" s="1" t="s">
        <v>54</v>
      </c>
      <c r="D1" s="1" t="s">
        <v>7</v>
      </c>
      <c r="E1" s="1" t="s">
        <v>9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1</v>
      </c>
    </row>
    <row r="2" ht="58" customHeight="1" spans="1:10">
      <c r="A2" s="5">
        <v>1</v>
      </c>
      <c r="B2" s="6" t="s">
        <v>214</v>
      </c>
      <c r="C2" s="6" t="s">
        <v>215</v>
      </c>
      <c r="D2" s="6" t="s">
        <v>61</v>
      </c>
      <c r="E2" s="6" t="s">
        <v>216</v>
      </c>
      <c r="F2" s="6" t="s">
        <v>216</v>
      </c>
      <c r="G2" s="6" t="s">
        <v>26</v>
      </c>
      <c r="H2" s="6" t="s">
        <v>86</v>
      </c>
      <c r="I2" s="6" t="s">
        <v>65</v>
      </c>
      <c r="J2" s="7">
        <v>46252</v>
      </c>
    </row>
    <row r="3" ht="58" customHeight="1" spans="1:10">
      <c r="A3" s="8">
        <v>2</v>
      </c>
      <c r="B3" s="9" t="s">
        <v>217</v>
      </c>
      <c r="C3" s="9" t="s">
        <v>218</v>
      </c>
      <c r="D3" s="9" t="s">
        <v>219</v>
      </c>
      <c r="E3" s="9" t="s">
        <v>62</v>
      </c>
      <c r="F3" s="9" t="s">
        <v>220</v>
      </c>
      <c r="G3" s="9" t="s">
        <v>26</v>
      </c>
      <c r="H3" s="9" t="s">
        <v>75</v>
      </c>
      <c r="I3" s="9" t="s">
        <v>221</v>
      </c>
      <c r="J3" s="10">
        <v>46252</v>
      </c>
    </row>
    <row r="4" ht="58" customHeight="1" spans="1:10">
      <c r="A4" s="8">
        <v>3</v>
      </c>
      <c r="B4" s="9" t="s">
        <v>222</v>
      </c>
      <c r="C4" s="9" t="s">
        <v>223</v>
      </c>
      <c r="D4" s="9" t="s">
        <v>224</v>
      </c>
      <c r="E4" s="9" t="s">
        <v>225</v>
      </c>
      <c r="F4" s="9" t="s">
        <v>226</v>
      </c>
      <c r="G4" s="9" t="s">
        <v>26</v>
      </c>
      <c r="H4" s="9" t="s">
        <v>81</v>
      </c>
      <c r="I4" s="9" t="s">
        <v>227</v>
      </c>
      <c r="J4" s="10">
        <v>46252</v>
      </c>
    </row>
    <row r="5" ht="58" customHeight="1" spans="1:10">
      <c r="A5" s="8">
        <v>4</v>
      </c>
      <c r="B5" s="9" t="s">
        <v>228</v>
      </c>
      <c r="C5" s="9" t="s">
        <v>229</v>
      </c>
      <c r="D5" s="9" t="s">
        <v>89</v>
      </c>
      <c r="E5" s="9" t="s">
        <v>230</v>
      </c>
      <c r="F5" s="9" t="s">
        <v>230</v>
      </c>
      <c r="G5" s="9" t="s">
        <v>26</v>
      </c>
      <c r="H5" s="9" t="s">
        <v>81</v>
      </c>
      <c r="I5" s="9" t="s">
        <v>65</v>
      </c>
      <c r="J5" s="10">
        <v>46252</v>
      </c>
    </row>
    <row r="6" ht="58" customHeight="1" spans="1:10">
      <c r="A6" s="8">
        <v>5</v>
      </c>
      <c r="B6" s="9" t="s">
        <v>231</v>
      </c>
      <c r="C6" s="9" t="s">
        <v>232</v>
      </c>
      <c r="D6" s="9" t="s">
        <v>89</v>
      </c>
      <c r="E6" s="9" t="s">
        <v>62</v>
      </c>
      <c r="F6" s="9" t="s">
        <v>226</v>
      </c>
      <c r="G6" s="9" t="s">
        <v>26</v>
      </c>
      <c r="H6" s="9" t="s">
        <v>75</v>
      </c>
      <c r="I6" s="9" t="s">
        <v>92</v>
      </c>
      <c r="J6" s="10">
        <v>46252</v>
      </c>
    </row>
    <row r="7" ht="58" customHeight="1" spans="1:10">
      <c r="A7" s="8">
        <v>6</v>
      </c>
      <c r="B7" s="9" t="s">
        <v>233</v>
      </c>
      <c r="C7" s="9" t="s">
        <v>234</v>
      </c>
      <c r="D7" s="9" t="s">
        <v>89</v>
      </c>
      <c r="E7" s="9" t="s">
        <v>62</v>
      </c>
      <c r="F7" s="9" t="s">
        <v>220</v>
      </c>
      <c r="G7" s="9" t="s">
        <v>26</v>
      </c>
      <c r="H7" s="9" t="s">
        <v>75</v>
      </c>
      <c r="I7" s="9" t="s">
        <v>92</v>
      </c>
      <c r="J7" s="10">
        <v>46252</v>
      </c>
    </row>
    <row r="8" ht="58" customHeight="1" spans="1:10">
      <c r="A8" s="8">
        <v>7</v>
      </c>
      <c r="B8" s="9" t="s">
        <v>235</v>
      </c>
      <c r="C8" s="9" t="s">
        <v>236</v>
      </c>
      <c r="D8" s="9" t="s">
        <v>237</v>
      </c>
      <c r="E8" s="9" t="s">
        <v>62</v>
      </c>
      <c r="F8" s="9" t="s">
        <v>238</v>
      </c>
      <c r="G8" s="9" t="s">
        <v>26</v>
      </c>
      <c r="H8" s="9" t="s">
        <v>75</v>
      </c>
      <c r="I8" s="9" t="s">
        <v>239</v>
      </c>
      <c r="J8" s="10">
        <v>46252</v>
      </c>
    </row>
    <row r="9" ht="58" customHeight="1" spans="1:10">
      <c r="A9" s="8">
        <v>8</v>
      </c>
      <c r="B9" s="9" t="s">
        <v>240</v>
      </c>
      <c r="C9" s="9" t="s">
        <v>241</v>
      </c>
      <c r="D9" s="9" t="s">
        <v>61</v>
      </c>
      <c r="E9" s="9" t="s">
        <v>242</v>
      </c>
      <c r="F9" s="9" t="s">
        <v>242</v>
      </c>
      <c r="G9" s="9" t="s">
        <v>26</v>
      </c>
      <c r="H9" s="9" t="s">
        <v>86</v>
      </c>
      <c r="I9" s="9" t="s">
        <v>65</v>
      </c>
      <c r="J9" s="10">
        <v>46252</v>
      </c>
    </row>
    <row r="10" ht="58" customHeight="1" spans="1:10">
      <c r="A10" s="8">
        <v>9</v>
      </c>
      <c r="B10" s="9" t="s">
        <v>243</v>
      </c>
      <c r="C10" s="9" t="s">
        <v>244</v>
      </c>
      <c r="D10" s="9" t="s">
        <v>245</v>
      </c>
      <c r="E10" s="9" t="s">
        <v>62</v>
      </c>
      <c r="F10" s="9" t="s">
        <v>246</v>
      </c>
      <c r="G10" s="9" t="s">
        <v>26</v>
      </c>
      <c r="H10" s="9" t="s">
        <v>81</v>
      </c>
      <c r="I10" s="9" t="s">
        <v>247</v>
      </c>
      <c r="J10" s="10">
        <v>46252</v>
      </c>
    </row>
    <row r="11" ht="58" customHeight="1" spans="1:10">
      <c r="A11" s="11">
        <v>10</v>
      </c>
      <c r="B11" s="12" t="s">
        <v>248</v>
      </c>
      <c r="C11" s="12" t="s">
        <v>249</v>
      </c>
      <c r="D11" s="12" t="s">
        <v>89</v>
      </c>
      <c r="E11" s="12" t="s">
        <v>250</v>
      </c>
      <c r="F11" s="12" t="s">
        <v>251</v>
      </c>
      <c r="G11" s="12" t="s">
        <v>26</v>
      </c>
      <c r="H11" s="12" t="s">
        <v>81</v>
      </c>
      <c r="I11" s="12" t="s">
        <v>65</v>
      </c>
      <c r="J11" s="13">
        <v>46252</v>
      </c>
    </row>
  </sheetData>
  <pageMargins left="0.7" right="0.7" top="0.75" bottom="0.75" header="0.3" footer="0.3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showGridLines="0" workbookViewId="0">
      <selection activeCell="A1" sqref="A1"/>
    </sheetView>
  </sheetViews>
  <sheetFormatPr defaultColWidth="9" defaultRowHeight="14.5" outlineLevelRow="3"/>
  <cols>
    <col min="1" max="1" width="7" customWidth="1"/>
    <col min="2" max="2" width="14" customWidth="1"/>
    <col min="3" max="3" width="42" customWidth="1"/>
    <col min="4" max="4" width="55" customWidth="1"/>
    <col min="5" max="5" width="35" customWidth="1"/>
    <col min="6" max="6" width="34" customWidth="1"/>
    <col min="7" max="7" width="14" customWidth="1"/>
    <col min="8" max="8" width="16" customWidth="1"/>
    <col min="9" max="9" width="60" customWidth="1"/>
    <col min="10" max="10" width="13" customWidth="1"/>
  </cols>
  <sheetData>
    <row r="1" ht="30" customHeight="1" spans="1:10">
      <c r="A1" s="1" t="s">
        <v>52</v>
      </c>
      <c r="B1" s="1" t="s">
        <v>53</v>
      </c>
      <c r="C1" s="1" t="s">
        <v>54</v>
      </c>
      <c r="D1" s="1" t="s">
        <v>7</v>
      </c>
      <c r="E1" s="1" t="s">
        <v>9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1</v>
      </c>
    </row>
    <row r="2" ht="58" customHeight="1" spans="1:10">
      <c r="A2" s="5">
        <v>1</v>
      </c>
      <c r="B2" s="6" t="s">
        <v>252</v>
      </c>
      <c r="C2" s="6" t="s">
        <v>253</v>
      </c>
      <c r="D2" s="6" t="s">
        <v>254</v>
      </c>
      <c r="E2" s="6" t="s">
        <v>62</v>
      </c>
      <c r="F2" s="6" t="s">
        <v>255</v>
      </c>
      <c r="G2" s="6" t="s">
        <v>27</v>
      </c>
      <c r="H2" s="6" t="s">
        <v>75</v>
      </c>
      <c r="I2" s="6" t="s">
        <v>256</v>
      </c>
      <c r="J2" s="7">
        <v>46252</v>
      </c>
    </row>
    <row r="3" ht="58" customHeight="1" spans="1:10">
      <c r="A3" s="8">
        <v>2</v>
      </c>
      <c r="B3" s="9" t="s">
        <v>257</v>
      </c>
      <c r="C3" s="9" t="s">
        <v>258</v>
      </c>
      <c r="D3" s="9" t="s">
        <v>61</v>
      </c>
      <c r="E3" s="9" t="s">
        <v>259</v>
      </c>
      <c r="F3" s="9" t="s">
        <v>259</v>
      </c>
      <c r="G3" s="9" t="s">
        <v>27</v>
      </c>
      <c r="H3" s="9" t="s">
        <v>86</v>
      </c>
      <c r="I3" s="9" t="s">
        <v>65</v>
      </c>
      <c r="J3" s="10">
        <v>46252</v>
      </c>
    </row>
    <row r="4" ht="58" customHeight="1" spans="1:10">
      <c r="A4" s="11">
        <v>3</v>
      </c>
      <c r="B4" s="12" t="s">
        <v>260</v>
      </c>
      <c r="C4" s="12" t="s">
        <v>261</v>
      </c>
      <c r="D4" s="12" t="s">
        <v>89</v>
      </c>
      <c r="E4" s="12" t="s">
        <v>62</v>
      </c>
      <c r="F4" s="12" t="s">
        <v>262</v>
      </c>
      <c r="G4" s="12" t="s">
        <v>27</v>
      </c>
      <c r="H4" s="12" t="s">
        <v>104</v>
      </c>
      <c r="I4" s="12" t="s">
        <v>65</v>
      </c>
      <c r="J4" s="13">
        <v>46252</v>
      </c>
    </row>
  </sheetData>
  <pageMargins left="0.7" right="0.7" top="0.75" bottom="0.75" header="0.3" footer="0.3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showGridLines="0" workbookViewId="0">
      <selection activeCell="A1" sqref="A1"/>
    </sheetView>
  </sheetViews>
  <sheetFormatPr defaultColWidth="9" defaultRowHeight="14.5"/>
  <cols>
    <col min="1" max="1" width="7" customWidth="1"/>
    <col min="2" max="2" width="14" customWidth="1"/>
    <col min="3" max="3" width="42" customWidth="1"/>
    <col min="4" max="4" width="55" customWidth="1"/>
    <col min="5" max="5" width="35" customWidth="1"/>
    <col min="6" max="6" width="34" customWidth="1"/>
    <col min="7" max="7" width="14" customWidth="1"/>
    <col min="8" max="8" width="16" customWidth="1"/>
    <col min="9" max="9" width="60" customWidth="1"/>
    <col min="10" max="10" width="13" customWidth="1"/>
  </cols>
  <sheetData>
    <row r="1" ht="30" customHeight="1" spans="1:10">
      <c r="A1" s="1" t="s">
        <v>52</v>
      </c>
      <c r="B1" s="1" t="s">
        <v>53</v>
      </c>
      <c r="C1" s="1" t="s">
        <v>54</v>
      </c>
      <c r="D1" s="1" t="s">
        <v>7</v>
      </c>
      <c r="E1" s="1" t="s">
        <v>9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1</v>
      </c>
    </row>
    <row r="2" ht="58" customHeight="1" spans="1:10">
      <c r="A2" s="5">
        <v>1</v>
      </c>
      <c r="B2" s="6" t="s">
        <v>263</v>
      </c>
      <c r="C2" s="6" t="s">
        <v>264</v>
      </c>
      <c r="D2" s="6" t="s">
        <v>61</v>
      </c>
      <c r="E2" s="6" t="s">
        <v>265</v>
      </c>
      <c r="F2" s="6" t="s">
        <v>265</v>
      </c>
      <c r="G2" s="6" t="s">
        <v>28</v>
      </c>
      <c r="H2" s="6" t="s">
        <v>86</v>
      </c>
      <c r="I2" s="6" t="s">
        <v>65</v>
      </c>
      <c r="J2" s="7">
        <v>46252</v>
      </c>
    </row>
    <row r="3" ht="58" customHeight="1" spans="1:10">
      <c r="A3" s="8">
        <v>2</v>
      </c>
      <c r="B3" s="9" t="s">
        <v>266</v>
      </c>
      <c r="C3" s="9" t="s">
        <v>267</v>
      </c>
      <c r="D3" s="9" t="s">
        <v>61</v>
      </c>
      <c r="E3" s="9" t="s">
        <v>268</v>
      </c>
      <c r="F3" s="9" t="s">
        <v>268</v>
      </c>
      <c r="G3" s="9" t="s">
        <v>28</v>
      </c>
      <c r="H3" s="9" t="s">
        <v>86</v>
      </c>
      <c r="I3" s="9" t="s">
        <v>65</v>
      </c>
      <c r="J3" s="10">
        <v>46252</v>
      </c>
    </row>
    <row r="4" ht="58" customHeight="1" spans="1:10">
      <c r="A4" s="8">
        <v>3</v>
      </c>
      <c r="B4" s="9" t="s">
        <v>269</v>
      </c>
      <c r="C4" s="9" t="s">
        <v>270</v>
      </c>
      <c r="D4" s="9" t="s">
        <v>271</v>
      </c>
      <c r="E4" s="9" t="s">
        <v>62</v>
      </c>
      <c r="F4" s="9" t="s">
        <v>272</v>
      </c>
      <c r="G4" s="9" t="s">
        <v>28</v>
      </c>
      <c r="H4" s="9" t="s">
        <v>75</v>
      </c>
      <c r="I4" s="9" t="s">
        <v>273</v>
      </c>
      <c r="J4" s="10">
        <v>46252</v>
      </c>
    </row>
    <row r="5" ht="58" customHeight="1" spans="1:10">
      <c r="A5" s="8">
        <v>4</v>
      </c>
      <c r="B5" s="9" t="s">
        <v>274</v>
      </c>
      <c r="C5" s="9" t="s">
        <v>275</v>
      </c>
      <c r="D5" s="9" t="s">
        <v>276</v>
      </c>
      <c r="E5" s="9" t="s">
        <v>277</v>
      </c>
      <c r="F5" s="9" t="s">
        <v>278</v>
      </c>
      <c r="G5" s="9" t="s">
        <v>28</v>
      </c>
      <c r="H5" s="9" t="s">
        <v>81</v>
      </c>
      <c r="I5" s="9" t="s">
        <v>279</v>
      </c>
      <c r="J5" s="10">
        <v>46252</v>
      </c>
    </row>
    <row r="6" ht="58" customHeight="1" spans="1:10">
      <c r="A6" s="8">
        <v>5</v>
      </c>
      <c r="B6" s="9" t="s">
        <v>280</v>
      </c>
      <c r="C6" s="9" t="s">
        <v>281</v>
      </c>
      <c r="D6" s="9" t="s">
        <v>61</v>
      </c>
      <c r="E6" s="9" t="s">
        <v>282</v>
      </c>
      <c r="F6" s="9" t="s">
        <v>282</v>
      </c>
      <c r="G6" s="9" t="s">
        <v>28</v>
      </c>
      <c r="H6" s="9" t="s">
        <v>86</v>
      </c>
      <c r="I6" s="9" t="s">
        <v>65</v>
      </c>
      <c r="J6" s="10">
        <v>46252</v>
      </c>
    </row>
    <row r="7" ht="58" customHeight="1" spans="1:10">
      <c r="A7" s="8">
        <v>6</v>
      </c>
      <c r="B7" s="9" t="s">
        <v>283</v>
      </c>
      <c r="C7" s="9" t="s">
        <v>284</v>
      </c>
      <c r="D7" s="9" t="s">
        <v>285</v>
      </c>
      <c r="E7" s="9" t="s">
        <v>286</v>
      </c>
      <c r="F7" s="9" t="s">
        <v>286</v>
      </c>
      <c r="G7" s="9" t="s">
        <v>28</v>
      </c>
      <c r="H7" s="9" t="s">
        <v>81</v>
      </c>
      <c r="I7" s="9" t="s">
        <v>287</v>
      </c>
      <c r="J7" s="10">
        <v>46252</v>
      </c>
    </row>
    <row r="8" ht="58" customHeight="1" spans="1:10">
      <c r="A8" s="8">
        <v>7</v>
      </c>
      <c r="B8" s="9" t="s">
        <v>288</v>
      </c>
      <c r="C8" s="9" t="s">
        <v>289</v>
      </c>
      <c r="D8" s="9" t="s">
        <v>89</v>
      </c>
      <c r="E8" s="9" t="s">
        <v>62</v>
      </c>
      <c r="F8" s="9" t="s">
        <v>278</v>
      </c>
      <c r="G8" s="9" t="s">
        <v>28</v>
      </c>
      <c r="H8" s="9" t="s">
        <v>75</v>
      </c>
      <c r="I8" s="9" t="s">
        <v>92</v>
      </c>
      <c r="J8" s="10">
        <v>46252</v>
      </c>
    </row>
    <row r="9" ht="58" customHeight="1" spans="1:10">
      <c r="A9" s="8">
        <v>8</v>
      </c>
      <c r="B9" s="9" t="s">
        <v>290</v>
      </c>
      <c r="C9" s="9" t="s">
        <v>291</v>
      </c>
      <c r="D9" s="9" t="s">
        <v>292</v>
      </c>
      <c r="E9" s="9" t="s">
        <v>277</v>
      </c>
      <c r="F9" s="9" t="s">
        <v>293</v>
      </c>
      <c r="G9" s="9" t="s">
        <v>28</v>
      </c>
      <c r="H9" s="9" t="s">
        <v>81</v>
      </c>
      <c r="I9" s="9" t="s">
        <v>294</v>
      </c>
      <c r="J9" s="10">
        <v>46252</v>
      </c>
    </row>
    <row r="10" ht="58" customHeight="1" spans="1:10">
      <c r="A10" s="11">
        <v>9</v>
      </c>
      <c r="B10" s="12" t="s">
        <v>295</v>
      </c>
      <c r="C10" s="12" t="s">
        <v>296</v>
      </c>
      <c r="D10" s="12" t="s">
        <v>61</v>
      </c>
      <c r="E10" s="12" t="s">
        <v>297</v>
      </c>
      <c r="F10" s="12" t="s">
        <v>297</v>
      </c>
      <c r="G10" s="12" t="s">
        <v>28</v>
      </c>
      <c r="H10" s="12" t="s">
        <v>86</v>
      </c>
      <c r="I10" s="12" t="s">
        <v>65</v>
      </c>
      <c r="J10" s="13">
        <v>46252</v>
      </c>
    </row>
  </sheetData>
  <pageMargins left="0.7" right="0.7" top="0.75" bottom="0.75" header="0.3" footer="0.3"/>
  <headerFooter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showGridLines="0" workbookViewId="0">
      <selection activeCell="A1" sqref="A1"/>
    </sheetView>
  </sheetViews>
  <sheetFormatPr defaultColWidth="9" defaultRowHeight="14.5" outlineLevelRow="3"/>
  <cols>
    <col min="1" max="1" width="7" customWidth="1"/>
    <col min="2" max="2" width="14" customWidth="1"/>
    <col min="3" max="3" width="42" customWidth="1"/>
    <col min="4" max="4" width="55" customWidth="1"/>
    <col min="5" max="5" width="35" customWidth="1"/>
    <col min="6" max="6" width="34" customWidth="1"/>
    <col min="7" max="7" width="14" customWidth="1"/>
    <col min="8" max="8" width="16" customWidth="1"/>
    <col min="9" max="9" width="60" customWidth="1"/>
    <col min="10" max="10" width="13" customWidth="1"/>
  </cols>
  <sheetData>
    <row r="1" ht="30" customHeight="1" spans="1:10">
      <c r="A1" s="1" t="s">
        <v>52</v>
      </c>
      <c r="B1" s="1" t="s">
        <v>53</v>
      </c>
      <c r="C1" s="1" t="s">
        <v>54</v>
      </c>
      <c r="D1" s="1" t="s">
        <v>7</v>
      </c>
      <c r="E1" s="1" t="s">
        <v>9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1</v>
      </c>
    </row>
    <row r="2" ht="58" customHeight="1" spans="1:10">
      <c r="A2" s="5">
        <v>1</v>
      </c>
      <c r="B2" s="6" t="s">
        <v>298</v>
      </c>
      <c r="C2" s="6" t="s">
        <v>299</v>
      </c>
      <c r="D2" s="6" t="s">
        <v>300</v>
      </c>
      <c r="E2" s="6" t="s">
        <v>62</v>
      </c>
      <c r="F2" s="6" t="s">
        <v>301</v>
      </c>
      <c r="G2" s="6" t="s">
        <v>29</v>
      </c>
      <c r="H2" s="6" t="s">
        <v>75</v>
      </c>
      <c r="I2" s="6" t="s">
        <v>302</v>
      </c>
      <c r="J2" s="7">
        <v>46252</v>
      </c>
    </row>
    <row r="3" ht="58" customHeight="1" spans="1:10">
      <c r="A3" s="8">
        <v>2</v>
      </c>
      <c r="B3" s="9" t="s">
        <v>303</v>
      </c>
      <c r="C3" s="9" t="s">
        <v>304</v>
      </c>
      <c r="D3" s="9" t="s">
        <v>305</v>
      </c>
      <c r="E3" s="9" t="s">
        <v>62</v>
      </c>
      <c r="F3" s="9" t="s">
        <v>306</v>
      </c>
      <c r="G3" s="9" t="s">
        <v>29</v>
      </c>
      <c r="H3" s="9" t="s">
        <v>75</v>
      </c>
      <c r="I3" s="9" t="s">
        <v>307</v>
      </c>
      <c r="J3" s="10">
        <v>46252</v>
      </c>
    </row>
    <row r="4" ht="58" customHeight="1" spans="1:10">
      <c r="A4" s="11">
        <v>3</v>
      </c>
      <c r="B4" s="12" t="s">
        <v>308</v>
      </c>
      <c r="C4" s="12" t="s">
        <v>309</v>
      </c>
      <c r="D4" s="12" t="s">
        <v>310</v>
      </c>
      <c r="E4" s="12" t="s">
        <v>62</v>
      </c>
      <c r="F4" s="12" t="s">
        <v>301</v>
      </c>
      <c r="G4" s="12" t="s">
        <v>29</v>
      </c>
      <c r="H4" s="12" t="s">
        <v>75</v>
      </c>
      <c r="I4" s="12" t="s">
        <v>311</v>
      </c>
      <c r="J4" s="13">
        <v>46252</v>
      </c>
    </row>
  </sheetData>
  <pageMargins left="0.7" right="0.7" top="0.75" bottom="0.75" header="0.3" footer="0.3"/>
  <headerFooter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showGridLines="0" workbookViewId="0">
      <selection activeCell="A1" sqref="A1"/>
    </sheetView>
  </sheetViews>
  <sheetFormatPr defaultColWidth="9" defaultRowHeight="14.5" outlineLevelRow="2"/>
  <cols>
    <col min="1" max="1" width="7" customWidth="1"/>
    <col min="2" max="2" width="14" customWidth="1"/>
    <col min="3" max="3" width="42" customWidth="1"/>
    <col min="4" max="4" width="55" customWidth="1"/>
    <col min="5" max="5" width="35" customWidth="1"/>
    <col min="6" max="6" width="34" customWidth="1"/>
    <col min="7" max="7" width="14" customWidth="1"/>
    <col min="8" max="8" width="16" customWidth="1"/>
    <col min="9" max="9" width="60" customWidth="1"/>
    <col min="10" max="10" width="13" customWidth="1"/>
  </cols>
  <sheetData>
    <row r="1" ht="30" customHeight="1" spans="1:10">
      <c r="A1" s="1" t="s">
        <v>52</v>
      </c>
      <c r="B1" s="1" t="s">
        <v>53</v>
      </c>
      <c r="C1" s="1" t="s">
        <v>54</v>
      </c>
      <c r="D1" s="1" t="s">
        <v>7</v>
      </c>
      <c r="E1" s="1" t="s">
        <v>9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1</v>
      </c>
    </row>
    <row r="2" ht="58" customHeight="1" spans="1:10">
      <c r="A2" s="5">
        <v>1</v>
      </c>
      <c r="B2" s="6" t="s">
        <v>312</v>
      </c>
      <c r="C2" s="6" t="s">
        <v>313</v>
      </c>
      <c r="D2" s="6" t="s">
        <v>61</v>
      </c>
      <c r="E2" s="6" t="s">
        <v>314</v>
      </c>
      <c r="F2" s="6" t="s">
        <v>314</v>
      </c>
      <c r="G2" s="6" t="s">
        <v>32</v>
      </c>
      <c r="H2" s="6" t="s">
        <v>86</v>
      </c>
      <c r="I2" s="6" t="s">
        <v>65</v>
      </c>
      <c r="J2" s="7">
        <v>46252</v>
      </c>
    </row>
    <row r="3" ht="58" customHeight="1" spans="1:10">
      <c r="A3" s="11">
        <v>2</v>
      </c>
      <c r="B3" s="12" t="s">
        <v>315</v>
      </c>
      <c r="C3" s="12" t="s">
        <v>316</v>
      </c>
      <c r="D3" s="12" t="s">
        <v>89</v>
      </c>
      <c r="E3" s="12" t="s">
        <v>62</v>
      </c>
      <c r="F3" s="12" t="s">
        <v>317</v>
      </c>
      <c r="G3" s="12" t="s">
        <v>32</v>
      </c>
      <c r="H3" s="12" t="s">
        <v>75</v>
      </c>
      <c r="I3" s="12" t="s">
        <v>92</v>
      </c>
      <c r="J3" s="13">
        <v>46252</v>
      </c>
    </row>
  </sheetData>
  <pageMargins left="0.7" right="0.7" top="0.75" bottom="0.75" header="0.3" footer="0.3"/>
  <headerFooter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showGridLines="0" workbookViewId="0">
      <selection activeCell="A1" sqref="A1"/>
    </sheetView>
  </sheetViews>
  <sheetFormatPr defaultColWidth="9" defaultRowHeight="14.5" outlineLevelRow="1"/>
  <cols>
    <col min="1" max="1" width="7" customWidth="1"/>
    <col min="2" max="2" width="14" customWidth="1"/>
    <col min="3" max="3" width="42" customWidth="1"/>
    <col min="4" max="4" width="55" customWidth="1"/>
    <col min="5" max="5" width="35" customWidth="1"/>
    <col min="6" max="6" width="34" customWidth="1"/>
    <col min="7" max="7" width="14" customWidth="1"/>
    <col min="8" max="8" width="16" customWidth="1"/>
    <col min="9" max="9" width="60" customWidth="1"/>
    <col min="10" max="10" width="13" customWidth="1"/>
  </cols>
  <sheetData>
    <row r="1" ht="30" customHeight="1" spans="1:10">
      <c r="A1" s="1" t="s">
        <v>52</v>
      </c>
      <c r="B1" s="1" t="s">
        <v>53</v>
      </c>
      <c r="C1" s="1" t="s">
        <v>54</v>
      </c>
      <c r="D1" s="1" t="s">
        <v>7</v>
      </c>
      <c r="E1" s="1" t="s">
        <v>9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1</v>
      </c>
    </row>
    <row r="2" ht="58" customHeight="1" spans="1:10">
      <c r="A2" s="2">
        <v>1</v>
      </c>
      <c r="B2" s="3" t="s">
        <v>318</v>
      </c>
      <c r="C2" s="3" t="s">
        <v>319</v>
      </c>
      <c r="D2" s="3" t="s">
        <v>89</v>
      </c>
      <c r="E2" s="3" t="s">
        <v>62</v>
      </c>
      <c r="F2" s="3" t="s">
        <v>320</v>
      </c>
      <c r="G2" s="3" t="s">
        <v>33</v>
      </c>
      <c r="H2" s="3" t="s">
        <v>321</v>
      </c>
      <c r="I2" s="3" t="s">
        <v>65</v>
      </c>
      <c r="J2" s="4">
        <v>46252</v>
      </c>
    </row>
  </sheetData>
  <pageMargins left="0.7" right="0.7" top="0.75" bottom="0.75" header="0.3" footer="0.3"/>
  <headerFooter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showGridLines="0" workbookViewId="0">
      <selection activeCell="A1" sqref="A1"/>
    </sheetView>
  </sheetViews>
  <sheetFormatPr defaultColWidth="9" defaultRowHeight="14.5" outlineLevelRow="2"/>
  <cols>
    <col min="1" max="1" width="7" customWidth="1"/>
    <col min="2" max="2" width="14" customWidth="1"/>
    <col min="3" max="3" width="42" customWidth="1"/>
    <col min="4" max="4" width="55" customWidth="1"/>
    <col min="5" max="5" width="35" customWidth="1"/>
    <col min="6" max="6" width="34" customWidth="1"/>
    <col min="7" max="7" width="14" customWidth="1"/>
    <col min="8" max="8" width="16" customWidth="1"/>
    <col min="9" max="9" width="60" customWidth="1"/>
    <col min="10" max="10" width="13" customWidth="1"/>
  </cols>
  <sheetData>
    <row r="1" ht="30" customHeight="1" spans="1:10">
      <c r="A1" s="1" t="s">
        <v>52</v>
      </c>
      <c r="B1" s="1" t="s">
        <v>53</v>
      </c>
      <c r="C1" s="1" t="s">
        <v>54</v>
      </c>
      <c r="D1" s="1" t="s">
        <v>7</v>
      </c>
      <c r="E1" s="1" t="s">
        <v>9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1</v>
      </c>
    </row>
    <row r="2" ht="58" customHeight="1" spans="1:10">
      <c r="A2" s="5">
        <v>1</v>
      </c>
      <c r="B2" s="6" t="s">
        <v>322</v>
      </c>
      <c r="C2" s="6" t="s">
        <v>323</v>
      </c>
      <c r="D2" s="6" t="s">
        <v>61</v>
      </c>
      <c r="E2" s="6" t="s">
        <v>324</v>
      </c>
      <c r="F2" s="6" t="s">
        <v>324</v>
      </c>
      <c r="G2" s="6" t="s">
        <v>34</v>
      </c>
      <c r="H2" s="6" t="s">
        <v>86</v>
      </c>
      <c r="I2" s="6" t="s">
        <v>65</v>
      </c>
      <c r="J2" s="7">
        <v>46252</v>
      </c>
    </row>
    <row r="3" ht="58" customHeight="1" spans="1:10">
      <c r="A3" s="11">
        <v>2</v>
      </c>
      <c r="B3" s="12" t="s">
        <v>325</v>
      </c>
      <c r="C3" s="12" t="s">
        <v>326</v>
      </c>
      <c r="D3" s="12" t="s">
        <v>89</v>
      </c>
      <c r="E3" s="12" t="s">
        <v>62</v>
      </c>
      <c r="F3" s="12" t="s">
        <v>327</v>
      </c>
      <c r="G3" s="12" t="s">
        <v>34</v>
      </c>
      <c r="H3" s="12" t="s">
        <v>75</v>
      </c>
      <c r="I3" s="12" t="s">
        <v>92</v>
      </c>
      <c r="J3" s="13">
        <v>46252</v>
      </c>
    </row>
  </sheetData>
  <pageMargins left="0.7" right="0.7" top="0.75" bottom="0.75" header="0.3" footer="0.3"/>
  <headerFooter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showGridLines="0" workbookViewId="0">
      <selection activeCell="A1" sqref="A1"/>
    </sheetView>
  </sheetViews>
  <sheetFormatPr defaultColWidth="9" defaultRowHeight="14.5" outlineLevelRow="2"/>
  <cols>
    <col min="1" max="1" width="7" customWidth="1"/>
    <col min="2" max="2" width="14" customWidth="1"/>
    <col min="3" max="3" width="42" customWidth="1"/>
    <col min="4" max="4" width="55" customWidth="1"/>
    <col min="5" max="5" width="35" customWidth="1"/>
    <col min="6" max="6" width="34" customWidth="1"/>
    <col min="7" max="7" width="14" customWidth="1"/>
    <col min="8" max="8" width="16" customWidth="1"/>
    <col min="9" max="9" width="60" customWidth="1"/>
    <col min="10" max="10" width="13" customWidth="1"/>
  </cols>
  <sheetData>
    <row r="1" ht="30" customHeight="1" spans="1:10">
      <c r="A1" s="1" t="s">
        <v>52</v>
      </c>
      <c r="B1" s="1" t="s">
        <v>53</v>
      </c>
      <c r="C1" s="1" t="s">
        <v>54</v>
      </c>
      <c r="D1" s="1" t="s">
        <v>7</v>
      </c>
      <c r="E1" s="1" t="s">
        <v>9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1</v>
      </c>
    </row>
    <row r="2" ht="58" customHeight="1" spans="1:10">
      <c r="A2" s="5">
        <v>1</v>
      </c>
      <c r="B2" s="6" t="s">
        <v>328</v>
      </c>
      <c r="C2" s="6" t="s">
        <v>329</v>
      </c>
      <c r="D2" s="6" t="s">
        <v>330</v>
      </c>
      <c r="E2" s="6" t="s">
        <v>62</v>
      </c>
      <c r="F2" s="6" t="s">
        <v>331</v>
      </c>
      <c r="G2" s="6" t="s">
        <v>35</v>
      </c>
      <c r="H2" s="6" t="s">
        <v>75</v>
      </c>
      <c r="I2" s="6" t="s">
        <v>332</v>
      </c>
      <c r="J2" s="7">
        <v>46252</v>
      </c>
    </row>
    <row r="3" ht="58" customHeight="1" spans="1:10">
      <c r="A3" s="11">
        <v>2</v>
      </c>
      <c r="B3" s="12" t="s">
        <v>333</v>
      </c>
      <c r="C3" s="12" t="s">
        <v>334</v>
      </c>
      <c r="D3" s="12" t="s">
        <v>89</v>
      </c>
      <c r="E3" s="12" t="s">
        <v>62</v>
      </c>
      <c r="F3" s="12" t="s">
        <v>335</v>
      </c>
      <c r="G3" s="12" t="s">
        <v>35</v>
      </c>
      <c r="H3" s="12" t="s">
        <v>75</v>
      </c>
      <c r="I3" s="12" t="s">
        <v>92</v>
      </c>
      <c r="J3" s="13">
        <v>46252</v>
      </c>
    </row>
  </sheetData>
  <pageMargins left="0.7" right="0.7" top="0.75" bottom="0.75" header="0.3" footer="0.3"/>
  <headerFooter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showGridLines="0" workbookViewId="0">
      <selection activeCell="A1" sqref="A1"/>
    </sheetView>
  </sheetViews>
  <sheetFormatPr defaultColWidth="9" defaultRowHeight="14.5" outlineLevelRow="7"/>
  <cols>
    <col min="1" max="1" width="7" customWidth="1"/>
    <col min="2" max="2" width="14" customWidth="1"/>
    <col min="3" max="3" width="42" customWidth="1"/>
    <col min="4" max="4" width="55" customWidth="1"/>
    <col min="5" max="5" width="35" customWidth="1"/>
    <col min="6" max="6" width="34" customWidth="1"/>
    <col min="7" max="7" width="14" customWidth="1"/>
    <col min="8" max="8" width="16" customWidth="1"/>
    <col min="9" max="9" width="60" customWidth="1"/>
    <col min="10" max="10" width="13" customWidth="1"/>
  </cols>
  <sheetData>
    <row r="1" ht="30" customHeight="1" spans="1:10">
      <c r="A1" s="1" t="s">
        <v>52</v>
      </c>
      <c r="B1" s="1" t="s">
        <v>53</v>
      </c>
      <c r="C1" s="1" t="s">
        <v>54</v>
      </c>
      <c r="D1" s="1" t="s">
        <v>7</v>
      </c>
      <c r="E1" s="1" t="s">
        <v>9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1</v>
      </c>
    </row>
    <row r="2" ht="58" customHeight="1" spans="1:10">
      <c r="A2" s="5">
        <v>1</v>
      </c>
      <c r="B2" s="6" t="s">
        <v>336</v>
      </c>
      <c r="C2" s="6" t="s">
        <v>337</v>
      </c>
      <c r="D2" s="6" t="s">
        <v>89</v>
      </c>
      <c r="E2" s="6" t="s">
        <v>338</v>
      </c>
      <c r="F2" s="6" t="s">
        <v>339</v>
      </c>
      <c r="G2" s="6" t="s">
        <v>36</v>
      </c>
      <c r="H2" s="6" t="s">
        <v>81</v>
      </c>
      <c r="I2" s="6" t="s">
        <v>65</v>
      </c>
      <c r="J2" s="7">
        <v>46252</v>
      </c>
    </row>
    <row r="3" ht="58" customHeight="1" spans="1:10">
      <c r="A3" s="8">
        <v>2</v>
      </c>
      <c r="B3" s="9" t="s">
        <v>340</v>
      </c>
      <c r="C3" s="9" t="s">
        <v>341</v>
      </c>
      <c r="D3" s="9" t="s">
        <v>61</v>
      </c>
      <c r="E3" s="9" t="s">
        <v>342</v>
      </c>
      <c r="F3" s="9" t="s">
        <v>342</v>
      </c>
      <c r="G3" s="9" t="s">
        <v>36</v>
      </c>
      <c r="H3" s="9" t="s">
        <v>86</v>
      </c>
      <c r="I3" s="9" t="s">
        <v>65</v>
      </c>
      <c r="J3" s="10">
        <v>46252</v>
      </c>
    </row>
    <row r="4" ht="58" customHeight="1" spans="1:10">
      <c r="A4" s="8">
        <v>3</v>
      </c>
      <c r="B4" s="9" t="s">
        <v>343</v>
      </c>
      <c r="C4" s="9" t="s">
        <v>344</v>
      </c>
      <c r="D4" s="9" t="s">
        <v>89</v>
      </c>
      <c r="E4" s="9" t="s">
        <v>345</v>
      </c>
      <c r="F4" s="9" t="s">
        <v>346</v>
      </c>
      <c r="G4" s="9" t="s">
        <v>36</v>
      </c>
      <c r="H4" s="9" t="s">
        <v>81</v>
      </c>
      <c r="I4" s="9" t="s">
        <v>65</v>
      </c>
      <c r="J4" s="10">
        <v>46252</v>
      </c>
    </row>
    <row r="5" ht="58" customHeight="1" spans="1:10">
      <c r="A5" s="8">
        <v>4</v>
      </c>
      <c r="B5" s="9" t="s">
        <v>347</v>
      </c>
      <c r="C5" s="9" t="s">
        <v>348</v>
      </c>
      <c r="D5" s="9" t="s">
        <v>89</v>
      </c>
      <c r="E5" s="9" t="s">
        <v>62</v>
      </c>
      <c r="F5" s="9" t="s">
        <v>349</v>
      </c>
      <c r="G5" s="9" t="s">
        <v>36</v>
      </c>
      <c r="H5" s="9" t="s">
        <v>75</v>
      </c>
      <c r="I5" s="9" t="s">
        <v>65</v>
      </c>
      <c r="J5" s="10">
        <v>46252</v>
      </c>
    </row>
    <row r="6" ht="58" customHeight="1" spans="1:10">
      <c r="A6" s="8">
        <v>5</v>
      </c>
      <c r="B6" s="9" t="s">
        <v>350</v>
      </c>
      <c r="C6" s="9" t="s">
        <v>351</v>
      </c>
      <c r="D6" s="9" t="s">
        <v>352</v>
      </c>
      <c r="E6" s="9" t="s">
        <v>353</v>
      </c>
      <c r="F6" s="9" t="s">
        <v>346</v>
      </c>
      <c r="G6" s="9" t="s">
        <v>36</v>
      </c>
      <c r="H6" s="9" t="s">
        <v>81</v>
      </c>
      <c r="I6" s="9" t="s">
        <v>354</v>
      </c>
      <c r="J6" s="10">
        <v>46252</v>
      </c>
    </row>
    <row r="7" ht="58" customHeight="1" spans="1:10">
      <c r="A7" s="8">
        <v>6</v>
      </c>
      <c r="B7" s="9" t="s">
        <v>355</v>
      </c>
      <c r="C7" s="9" t="s">
        <v>356</v>
      </c>
      <c r="D7" s="9" t="s">
        <v>61</v>
      </c>
      <c r="E7" s="9" t="s">
        <v>357</v>
      </c>
      <c r="F7" s="9" t="s">
        <v>357</v>
      </c>
      <c r="G7" s="9" t="s">
        <v>36</v>
      </c>
      <c r="H7" s="9" t="s">
        <v>86</v>
      </c>
      <c r="I7" s="9" t="s">
        <v>65</v>
      </c>
      <c r="J7" s="10">
        <v>46252</v>
      </c>
    </row>
    <row r="8" ht="58" customHeight="1" spans="1:10">
      <c r="A8" s="11">
        <v>7</v>
      </c>
      <c r="B8" s="12" t="s">
        <v>358</v>
      </c>
      <c r="C8" s="12" t="s">
        <v>359</v>
      </c>
      <c r="D8" s="12" t="s">
        <v>89</v>
      </c>
      <c r="E8" s="12" t="s">
        <v>62</v>
      </c>
      <c r="F8" s="12" t="s">
        <v>360</v>
      </c>
      <c r="G8" s="12" t="s">
        <v>36</v>
      </c>
      <c r="H8" s="12" t="s">
        <v>75</v>
      </c>
      <c r="I8" s="12" t="s">
        <v>92</v>
      </c>
      <c r="J8" s="13">
        <v>46252</v>
      </c>
    </row>
  </sheetData>
  <pageMargins left="0.7" right="0.7" top="0.75" bottom="0.75" header="0.3" footer="0.3"/>
  <headerFooter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showGridLines="0" workbookViewId="0">
      <selection activeCell="A1" sqref="A1"/>
    </sheetView>
  </sheetViews>
  <sheetFormatPr defaultColWidth="9" defaultRowHeight="14.5" outlineLevelRow="1"/>
  <cols>
    <col min="1" max="1" width="7" customWidth="1"/>
    <col min="2" max="2" width="14" customWidth="1"/>
    <col min="3" max="3" width="42" customWidth="1"/>
    <col min="4" max="4" width="55" customWidth="1"/>
    <col min="5" max="5" width="35" customWidth="1"/>
    <col min="6" max="6" width="34" customWidth="1"/>
    <col min="7" max="7" width="14" customWidth="1"/>
    <col min="8" max="8" width="16" customWidth="1"/>
    <col min="9" max="9" width="60" customWidth="1"/>
    <col min="10" max="10" width="13" customWidth="1"/>
  </cols>
  <sheetData>
    <row r="1" ht="30" customHeight="1" spans="1:10">
      <c r="A1" s="1" t="s">
        <v>52</v>
      </c>
      <c r="B1" s="1" t="s">
        <v>53</v>
      </c>
      <c r="C1" s="1" t="s">
        <v>54</v>
      </c>
      <c r="D1" s="1" t="s">
        <v>7</v>
      </c>
      <c r="E1" s="1" t="s">
        <v>9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1</v>
      </c>
    </row>
    <row r="2" ht="58" customHeight="1" spans="1:10">
      <c r="A2" s="2">
        <v>1</v>
      </c>
      <c r="B2" s="3" t="s">
        <v>361</v>
      </c>
      <c r="C2" s="3" t="s">
        <v>362</v>
      </c>
      <c r="D2" s="3" t="s">
        <v>363</v>
      </c>
      <c r="E2" s="3" t="s">
        <v>364</v>
      </c>
      <c r="F2" s="3" t="s">
        <v>365</v>
      </c>
      <c r="G2" s="3" t="s">
        <v>38</v>
      </c>
      <c r="H2" s="3" t="s">
        <v>81</v>
      </c>
      <c r="I2" s="3" t="s">
        <v>366</v>
      </c>
      <c r="J2" s="4">
        <v>46252</v>
      </c>
    </row>
  </sheetData>
  <pageMargins left="0.7" right="0.7" top="0.75" bottom="0.75" header="0.3" footer="0.3"/>
  <headerFooter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showGridLines="0" workbookViewId="0">
      <selection activeCell="A1" sqref="A1"/>
    </sheetView>
  </sheetViews>
  <sheetFormatPr defaultColWidth="9" defaultRowHeight="14.5" outlineLevelRow="2"/>
  <cols>
    <col min="1" max="1" width="7" customWidth="1"/>
    <col min="2" max="2" width="14" customWidth="1"/>
    <col min="3" max="3" width="42" customWidth="1"/>
    <col min="4" max="4" width="55" customWidth="1"/>
    <col min="5" max="5" width="35" customWidth="1"/>
    <col min="6" max="6" width="34" customWidth="1"/>
    <col min="7" max="7" width="14" customWidth="1"/>
    <col min="8" max="8" width="16" customWidth="1"/>
    <col min="9" max="9" width="60" customWidth="1"/>
    <col min="10" max="10" width="13" customWidth="1"/>
  </cols>
  <sheetData>
    <row r="1" ht="30" customHeight="1" spans="1:10">
      <c r="A1" s="1" t="s">
        <v>52</v>
      </c>
      <c r="B1" s="1" t="s">
        <v>53</v>
      </c>
      <c r="C1" s="1" t="s">
        <v>54</v>
      </c>
      <c r="D1" s="1" t="s">
        <v>7</v>
      </c>
      <c r="E1" s="1" t="s">
        <v>9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1</v>
      </c>
    </row>
    <row r="2" ht="58" customHeight="1" spans="1:10">
      <c r="A2" s="5">
        <v>1</v>
      </c>
      <c r="B2" s="6" t="s">
        <v>367</v>
      </c>
      <c r="C2" s="6" t="s">
        <v>368</v>
      </c>
      <c r="D2" s="6" t="s">
        <v>89</v>
      </c>
      <c r="E2" s="6" t="s">
        <v>369</v>
      </c>
      <c r="F2" s="6" t="s">
        <v>370</v>
      </c>
      <c r="G2" s="6" t="s">
        <v>39</v>
      </c>
      <c r="H2" s="6" t="s">
        <v>81</v>
      </c>
      <c r="I2" s="6" t="s">
        <v>92</v>
      </c>
      <c r="J2" s="7">
        <v>46252</v>
      </c>
    </row>
    <row r="3" ht="58" customHeight="1" spans="1:10">
      <c r="A3" s="11">
        <v>2</v>
      </c>
      <c r="B3" s="12" t="s">
        <v>371</v>
      </c>
      <c r="C3" s="12" t="s">
        <v>372</v>
      </c>
      <c r="D3" s="12" t="s">
        <v>89</v>
      </c>
      <c r="E3" s="12" t="s">
        <v>62</v>
      </c>
      <c r="F3" s="12" t="s">
        <v>373</v>
      </c>
      <c r="G3" s="12" t="s">
        <v>39</v>
      </c>
      <c r="H3" s="12" t="s">
        <v>75</v>
      </c>
      <c r="I3" s="12" t="s">
        <v>92</v>
      </c>
      <c r="J3" s="13">
        <v>46252</v>
      </c>
    </row>
  </sheetData>
  <pageMargins left="0.7" right="0.7" top="0.75" bottom="0.75" header="0.3" footer="0.3"/>
  <headerFooter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showGridLines="0" workbookViewId="0">
      <selection activeCell="A1" sqref="A1"/>
    </sheetView>
  </sheetViews>
  <sheetFormatPr defaultColWidth="9" defaultRowHeight="14.5" outlineLevelRow="3"/>
  <cols>
    <col min="1" max="1" width="7" customWidth="1"/>
    <col min="2" max="2" width="14" customWidth="1"/>
    <col min="3" max="3" width="42" customWidth="1"/>
    <col min="4" max="4" width="55" customWidth="1"/>
    <col min="5" max="5" width="35" customWidth="1"/>
    <col min="6" max="6" width="34" customWidth="1"/>
    <col min="7" max="7" width="14" customWidth="1"/>
    <col min="8" max="8" width="16" customWidth="1"/>
    <col min="9" max="9" width="60" customWidth="1"/>
    <col min="10" max="10" width="13" customWidth="1"/>
  </cols>
  <sheetData>
    <row r="1" ht="30" customHeight="1" spans="1:10">
      <c r="A1" s="1" t="s">
        <v>52</v>
      </c>
      <c r="B1" s="1" t="s">
        <v>53</v>
      </c>
      <c r="C1" s="1" t="s">
        <v>54</v>
      </c>
      <c r="D1" s="1" t="s">
        <v>7</v>
      </c>
      <c r="E1" s="1" t="s">
        <v>9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1</v>
      </c>
    </row>
    <row r="2" ht="58" customHeight="1" spans="1:10">
      <c r="A2" s="5">
        <v>1</v>
      </c>
      <c r="B2" s="6" t="s">
        <v>374</v>
      </c>
      <c r="C2" s="6" t="s">
        <v>375</v>
      </c>
      <c r="D2" s="6" t="s">
        <v>89</v>
      </c>
      <c r="E2" s="6" t="s">
        <v>376</v>
      </c>
      <c r="F2" s="6" t="s">
        <v>377</v>
      </c>
      <c r="G2" s="6" t="s">
        <v>40</v>
      </c>
      <c r="H2" s="6" t="s">
        <v>81</v>
      </c>
      <c r="I2" s="6" t="s">
        <v>378</v>
      </c>
      <c r="J2" s="7">
        <v>46252</v>
      </c>
    </row>
    <row r="3" ht="58" customHeight="1" spans="1:10">
      <c r="A3" s="8">
        <v>2</v>
      </c>
      <c r="B3" s="9" t="s">
        <v>379</v>
      </c>
      <c r="C3" s="9" t="s">
        <v>380</v>
      </c>
      <c r="D3" s="9" t="s">
        <v>381</v>
      </c>
      <c r="E3" s="9" t="s">
        <v>382</v>
      </c>
      <c r="F3" s="9" t="s">
        <v>377</v>
      </c>
      <c r="G3" s="9" t="s">
        <v>40</v>
      </c>
      <c r="H3" s="9" t="s">
        <v>81</v>
      </c>
      <c r="I3" s="9" t="s">
        <v>383</v>
      </c>
      <c r="J3" s="10">
        <v>46252</v>
      </c>
    </row>
    <row r="4" ht="58" customHeight="1" spans="1:10">
      <c r="A4" s="11">
        <v>3</v>
      </c>
      <c r="B4" s="12" t="s">
        <v>384</v>
      </c>
      <c r="C4" s="12" t="s">
        <v>385</v>
      </c>
      <c r="D4" s="12" t="s">
        <v>386</v>
      </c>
      <c r="E4" s="12" t="s">
        <v>62</v>
      </c>
      <c r="F4" s="12" t="s">
        <v>387</v>
      </c>
      <c r="G4" s="12" t="s">
        <v>40</v>
      </c>
      <c r="H4" s="12" t="s">
        <v>75</v>
      </c>
      <c r="I4" s="12" t="s">
        <v>388</v>
      </c>
      <c r="J4" s="13">
        <v>46252</v>
      </c>
    </row>
  </sheetData>
  <pageMargins left="0.7" right="0.7" top="0.75" bottom="0.75" header="0.3" footer="0.3"/>
  <headerFooter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showGridLines="0" workbookViewId="0">
      <selection activeCell="A1" sqref="A1"/>
    </sheetView>
  </sheetViews>
  <sheetFormatPr defaultColWidth="9" defaultRowHeight="14.5" outlineLevelRow="1"/>
  <cols>
    <col min="1" max="1" width="7" customWidth="1"/>
    <col min="2" max="2" width="14" customWidth="1"/>
    <col min="3" max="3" width="42" customWidth="1"/>
    <col min="4" max="4" width="55" customWidth="1"/>
    <col min="5" max="5" width="35" customWidth="1"/>
    <col min="6" max="6" width="34" customWidth="1"/>
    <col min="7" max="7" width="14" customWidth="1"/>
    <col min="8" max="8" width="16" customWidth="1"/>
    <col min="9" max="9" width="60" customWidth="1"/>
    <col min="10" max="10" width="13" customWidth="1"/>
  </cols>
  <sheetData>
    <row r="1" ht="30" customHeight="1" spans="1:10">
      <c r="A1" s="1" t="s">
        <v>52</v>
      </c>
      <c r="B1" s="1" t="s">
        <v>53</v>
      </c>
      <c r="C1" s="1" t="s">
        <v>54</v>
      </c>
      <c r="D1" s="1" t="s">
        <v>7</v>
      </c>
      <c r="E1" s="1" t="s">
        <v>9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1</v>
      </c>
    </row>
    <row r="2" ht="58" customHeight="1" spans="1:10">
      <c r="A2" s="2">
        <v>1</v>
      </c>
      <c r="B2" s="3" t="s">
        <v>389</v>
      </c>
      <c r="C2" s="3" t="s">
        <v>390</v>
      </c>
      <c r="D2" s="3" t="s">
        <v>391</v>
      </c>
      <c r="E2" s="3" t="s">
        <v>62</v>
      </c>
      <c r="F2" s="3" t="s">
        <v>392</v>
      </c>
      <c r="G2" s="3" t="s">
        <v>42</v>
      </c>
      <c r="H2" s="3" t="s">
        <v>75</v>
      </c>
      <c r="I2" s="3" t="s">
        <v>393</v>
      </c>
      <c r="J2" s="4">
        <v>46252</v>
      </c>
    </row>
  </sheetData>
  <pageMargins left="0.7" right="0.7" top="0.75" bottom="0.75" header="0.3" footer="0.3"/>
  <headerFooter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showGridLines="0" workbookViewId="0">
      <selection activeCell="A1" sqref="A1"/>
    </sheetView>
  </sheetViews>
  <sheetFormatPr defaultColWidth="9" defaultRowHeight="14.5" outlineLevelRow="3"/>
  <cols>
    <col min="1" max="1" width="7" customWidth="1"/>
    <col min="2" max="2" width="14" customWidth="1"/>
    <col min="3" max="3" width="42" customWidth="1"/>
    <col min="4" max="4" width="55" customWidth="1"/>
    <col min="5" max="5" width="35" customWidth="1"/>
    <col min="6" max="6" width="34" customWidth="1"/>
    <col min="7" max="7" width="14" customWidth="1"/>
    <col min="8" max="8" width="16" customWidth="1"/>
    <col min="9" max="9" width="60" customWidth="1"/>
    <col min="10" max="10" width="13" customWidth="1"/>
  </cols>
  <sheetData>
    <row r="1" ht="30" customHeight="1" spans="1:10">
      <c r="A1" s="1" t="s">
        <v>52</v>
      </c>
      <c r="B1" s="1" t="s">
        <v>53</v>
      </c>
      <c r="C1" s="1" t="s">
        <v>54</v>
      </c>
      <c r="D1" s="1" t="s">
        <v>7</v>
      </c>
      <c r="E1" s="1" t="s">
        <v>9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1</v>
      </c>
    </row>
    <row r="2" ht="58" customHeight="1" spans="1:10">
      <c r="A2" s="5">
        <v>1</v>
      </c>
      <c r="B2" s="6" t="s">
        <v>394</v>
      </c>
      <c r="C2" s="6" t="s">
        <v>395</v>
      </c>
      <c r="D2" s="6" t="s">
        <v>89</v>
      </c>
      <c r="E2" s="6" t="s">
        <v>62</v>
      </c>
      <c r="F2" s="6" t="s">
        <v>396</v>
      </c>
      <c r="G2" s="6" t="s">
        <v>44</v>
      </c>
      <c r="H2" s="6" t="s">
        <v>75</v>
      </c>
      <c r="I2" s="6" t="s">
        <v>65</v>
      </c>
      <c r="J2" s="7">
        <v>46252</v>
      </c>
    </row>
    <row r="3" ht="58" customHeight="1" spans="1:10">
      <c r="A3" s="8">
        <v>2</v>
      </c>
      <c r="B3" s="9" t="s">
        <v>397</v>
      </c>
      <c r="C3" s="9" t="s">
        <v>398</v>
      </c>
      <c r="D3" s="9" t="s">
        <v>399</v>
      </c>
      <c r="E3" s="9" t="s">
        <v>400</v>
      </c>
      <c r="F3" s="9" t="s">
        <v>396</v>
      </c>
      <c r="G3" s="9" t="s">
        <v>44</v>
      </c>
      <c r="H3" s="9" t="s">
        <v>81</v>
      </c>
      <c r="I3" s="9" t="s">
        <v>401</v>
      </c>
      <c r="J3" s="10">
        <v>46252</v>
      </c>
    </row>
    <row r="4" ht="58" customHeight="1" spans="1:10">
      <c r="A4" s="11">
        <v>3</v>
      </c>
      <c r="B4" s="12" t="s">
        <v>402</v>
      </c>
      <c r="C4" s="12" t="s">
        <v>403</v>
      </c>
      <c r="D4" s="12" t="s">
        <v>404</v>
      </c>
      <c r="E4" s="12" t="s">
        <v>62</v>
      </c>
      <c r="F4" s="12" t="s">
        <v>396</v>
      </c>
      <c r="G4" s="12" t="s">
        <v>44</v>
      </c>
      <c r="H4" s="12" t="s">
        <v>130</v>
      </c>
      <c r="I4" s="12" t="s">
        <v>405</v>
      </c>
      <c r="J4" s="13">
        <v>46252</v>
      </c>
    </row>
  </sheetData>
  <pageMargins left="0.7" right="0.7" top="0.75" bottom="0.75" header="0.3" footer="0.3"/>
  <headerFooter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showGridLines="0" workbookViewId="0">
      <selection activeCell="A1" sqref="A1"/>
    </sheetView>
  </sheetViews>
  <sheetFormatPr defaultColWidth="9" defaultRowHeight="14.5" outlineLevelRow="1"/>
  <cols>
    <col min="1" max="1" width="7" customWidth="1"/>
    <col min="2" max="2" width="14" customWidth="1"/>
    <col min="3" max="3" width="42" customWidth="1"/>
    <col min="4" max="4" width="55" customWidth="1"/>
    <col min="5" max="5" width="35" customWidth="1"/>
    <col min="6" max="6" width="34" customWidth="1"/>
    <col min="7" max="7" width="14" customWidth="1"/>
    <col min="8" max="8" width="16" customWidth="1"/>
    <col min="9" max="9" width="60" customWidth="1"/>
    <col min="10" max="10" width="13" customWidth="1"/>
  </cols>
  <sheetData>
    <row r="1" ht="30" customHeight="1" spans="1:10">
      <c r="A1" s="1" t="s">
        <v>52</v>
      </c>
      <c r="B1" s="1" t="s">
        <v>53</v>
      </c>
      <c r="C1" s="1" t="s">
        <v>54</v>
      </c>
      <c r="D1" s="1" t="s">
        <v>7</v>
      </c>
      <c r="E1" s="1" t="s">
        <v>9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1</v>
      </c>
    </row>
    <row r="2" ht="58" customHeight="1" spans="1:10">
      <c r="A2" s="2">
        <v>1</v>
      </c>
      <c r="B2" s="3" t="s">
        <v>406</v>
      </c>
      <c r="C2" s="3" t="s">
        <v>407</v>
      </c>
      <c r="D2" s="3" t="s">
        <v>89</v>
      </c>
      <c r="E2" s="3" t="s">
        <v>62</v>
      </c>
      <c r="F2" s="3" t="s">
        <v>408</v>
      </c>
      <c r="G2" s="3" t="s">
        <v>49</v>
      </c>
      <c r="H2" s="3" t="s">
        <v>174</v>
      </c>
      <c r="I2" s="3" t="s">
        <v>92</v>
      </c>
      <c r="J2" s="4">
        <v>46252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口径说明</vt:lpstr>
      <vt:lpstr>省份索引</vt:lpstr>
      <vt:lpstr>全国汇总</vt:lpstr>
      <vt:lpstr>北京市</vt:lpstr>
      <vt:lpstr>天津市</vt:lpstr>
      <vt:lpstr>河北省</vt:lpstr>
      <vt:lpstr>辽宁省</vt:lpstr>
      <vt:lpstr>黑龙江省</vt:lpstr>
      <vt:lpstr>上海市</vt:lpstr>
      <vt:lpstr>江苏省</vt:lpstr>
      <vt:lpstr>浙江省</vt:lpstr>
      <vt:lpstr>安徽省</vt:lpstr>
      <vt:lpstr>山东省</vt:lpstr>
      <vt:lpstr>河南省</vt:lpstr>
      <vt:lpstr>湖北省</vt:lpstr>
      <vt:lpstr>湖南省</vt:lpstr>
      <vt:lpstr>广东省</vt:lpstr>
      <vt:lpstr>海南省</vt:lpstr>
      <vt:lpstr>重庆市</vt:lpstr>
      <vt:lpstr>四川省</vt:lpstr>
      <vt:lpstr>云南省</vt:lpstr>
      <vt:lpstr>陕西省</vt:lpstr>
      <vt:lpstr>香港特别行政区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刘恺文</cp:lastModifiedBy>
  <dcterms:created xsi:type="dcterms:W3CDTF">2026-08-18T06:48:16Z</dcterms:created>
  <dcterms:modified xsi:type="dcterms:W3CDTF">2026-08-18T06:49:06Z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AA6522A9F4A54FDC9E7DF78E35FB4B5F_13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