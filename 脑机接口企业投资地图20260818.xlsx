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四川生物医药产业集团\创新事业部\行业研究\2026\脑机接口\投资地图\"/>
    </mc:Choice>
  </mc:AlternateContent>
  <bookViews>
    <workbookView windowWidth="24750" windowHeight="12080" activeTab="7"/>
  </bookViews>
  <sheets>
    <sheet name="口径说明" sheetId="1" r:id="rId1"/>
    <sheet name="省份索引" sheetId="2" r:id="rId2"/>
    <sheet name="全国汇总" sheetId="3" r:id="rId3"/>
    <sheet name="北京市" sheetId="4" r:id="rId4"/>
    <sheet name="天津市" sheetId="5" r:id="rId5"/>
    <sheet name="河北省" sheetId="6" r:id="rId6"/>
    <sheet name="辽宁省" sheetId="7" r:id="rId7"/>
    <sheet name="上海市" sheetId="8" r:id="rId8"/>
    <sheet name="江苏省" sheetId="9" r:id="rId9"/>
    <sheet name="浙江省" sheetId="10" r:id="rId10"/>
    <sheet name="安徽省" sheetId="11" r:id="rId11"/>
    <sheet name="福建省" sheetId="12" r:id="rId12"/>
    <sheet name="江西省" sheetId="13" r:id="rId13"/>
    <sheet name="山东省" sheetId="14" r:id="rId14"/>
    <sheet name="河南省" sheetId="15" r:id="rId15"/>
    <sheet name="湖北省" sheetId="16" r:id="rId16"/>
    <sheet name="湖南省" sheetId="17" r:id="rId17"/>
    <sheet name="广东省" sheetId="18" r:id="rId18"/>
    <sheet name="海南省" sheetId="19" r:id="rId19"/>
    <sheet name="重庆市" sheetId="20" r:id="rId20"/>
    <sheet name="四川省" sheetId="21" r:id="rId21"/>
    <sheet name="贵州省" sheetId="22" r:id="rId22"/>
    <sheet name="云南省" sheetId="23" r:id="rId23"/>
    <sheet name="陕西省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<sst xmlns="http://schemas.openxmlformats.org/spreadsheetml/2006/main" count="3778" uniqueCount="1108">
  <si>
    <t>全国脑机接口企业投资地图—口径说明</t>
  </si>
  <si>
    <t>核验日期</t>
  </si>
  <si>
    <t>收录总数</t>
  </si>
  <si>
    <t>地域口径</t>
  </si>
  <si>
    <t>按境内法律主体总部/主要注册地归属省级行政区；跨省研发中心不重复计数。</t>
  </si>
  <si>
    <t>收录标准</t>
  </si>
  <si>
    <t>在核心脑机接口企业基础上，扩展收录具有明确产品或项目证据的脑电/脑功能监测、神经调控、神经康复、脑健康平台、关键器件、研发工具、临床转化和产业运营企业。纯概念炒作、仅采购设备且无研发/转化能力的医疗机构，以及无具体产品或项目披露的主体不纳入。</t>
  </si>
  <si>
    <t>相关度</t>
  </si>
  <si>
    <t>核心企业=直接研发脑机接口；邻近应用=监测、调控、康复或脑健康产品与脑机接口存在明确技术连接；关键器件/平台=电极、芯片、脑磁/fNIRS、科研工具或数据平台；关联布局=上市公司或器械企业的实质研发/投资布局；临床转化/产业项目=以临床验证、区域运营或系统交付为主。</t>
  </si>
  <si>
    <t>临床阶段</t>
  </si>
  <si>
    <t>按已获证/注册临床/科研临床/临床前/样机研发/消费级不适用分层；无稳定公开信息时明确写“未公开”，不做推断。</t>
  </si>
  <si>
    <t>竞争力判断</t>
  </si>
  <si>
    <t>基于技术稀缺性、产品化、注册与临床、融资和产业资源的公开证据形成初步判断，不构成投资建议。</t>
  </si>
  <si>
    <t>完整性边界</t>
  </si>
  <si>
    <t>“全国”指对全部省级行政区做公开来源检索并在省份索引中呈现；不等同于工商数据库穷尽。早期企业可能因低曝光或信息滞后而遗漏，建议季度更新。</t>
  </si>
  <si>
    <t>主要公开来源类型：政府/监管机构、大学/医院/实验室官网、企业官网、招股书/年报、主流财经媒体与行业研究报告。每条记录的URL见“公开来源”列。</t>
  </si>
  <si>
    <t>省级行政区</t>
  </si>
  <si>
    <t>企业数量</t>
  </si>
  <si>
    <t>覆盖状态</t>
  </si>
  <si>
    <t>备注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</si>
  <si>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</si>
  <si>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</si>
  <si>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</si>
  <si>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</si>
  <si>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</si>
  <si>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</si>
  <si>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</si>
  <si>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</si>
  <si>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</si>
  <si>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</si>
  <si>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</si>
  <si>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</si>
  <si>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</si>
  <si>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</si>
  <si>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</si>
  <si>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</si>
  <si>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</si>
  <si>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</si>
  <si>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</si>
  <si>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</si>
  <si>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</si>
  <si>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</si>
  <si>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</si>
  <si>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</si>
  <si>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</si>
  <si>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</si>
  <si>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</si>
  <si>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</si>
  <si>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</si>
  <si>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</si>
  <si>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</si>
  <si>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香港特别行政区</t>
  </si>
  <si>
    <t>澳门特别行政区</t>
  </si>
  <si>
    <t>台湾省</t>
  </si>
  <si>
    <t>序号</t>
  </si>
  <si>
    <t>公司名称</t>
  </si>
  <si>
    <t>技术路径</t>
  </si>
  <si>
    <t>产品介绍</t>
  </si>
  <si>
    <t>产品临床阶段</t>
  </si>
  <si>
    <t>融资情况</t>
  </si>
  <si>
    <t>所属省份</t>
  </si>
  <si>
    <t>总部城市</t>
  </si>
  <si>
    <t>相关度/类型</t>
  </si>
  <si>
    <t>公开来源</t>
  </si>
  <si>
    <t>北京诚益通控制工程科技股份有限公司</t>
  </si>
  <si>
    <t>非侵入式/侵入式布局</t>
  </si>
  <si>
    <t>经颅磁/导航、脑机接口康复样机及侵入式技术储备</t>
  </si>
  <si>
    <t>非侵入式样机与注册推进；侵入式处于储备/合作阶段</t>
  </si>
  <si>
    <t>A股上市公司，以自有资金和子公司持续投入</t>
  </si>
  <si>
    <t>中高：康复渠道和制造基础较强，核心BCI产品仍需验证</t>
  </si>
  <si>
    <t>北京</t>
  </si>
  <si>
    <t>关联布局</t>
  </si>
  <si>
    <t>https://pdf.dfcfw.com/pdf/H301_AP202605101822122234_1.pdf</t>
  </si>
  <si>
    <t>北京津发科技股份有限公司</t>
  </si>
  <si>
    <t>非侵入式/人因与生理信号</t>
  </si>
  <si>
    <t>脑电、眼动、生理信号采集和人因智能实验平台</t>
  </si>
  <si>
    <t>科研与工业用户规模化应用；医疗注册属性因产品而异</t>
  </si>
  <si>
    <t>融资情况未充分公开</t>
  </si>
  <si>
    <t>中：科研工具与客户基础扎实，可服务脑机接口研发验证；医疗端直接相关度较弱</t>
  </si>
  <si>
    <t>关键器件/科研平台</t>
  </si>
  <si>
    <t>https://www.sohu.com/a/1017268693_121277055</t>
  </si>
  <si>
    <t>北京决明科技有限公司</t>
  </si>
  <si>
    <t>认知脑机接口</t>
  </si>
  <si>
    <t>认知功能客观评估、靶向干预及个性化训练平台</t>
  </si>
  <si>
    <t>科研与场景验证阶段；注册信息未充分公开</t>
  </si>
  <si>
    <t>中：认知评估闭环定位清晰，需持续核验医疗资质、临床数据与商业规模</t>
  </si>
  <si>
    <t>邻近应用/脑健康平台</t>
  </si>
  <si>
    <t>https://m.elecfans.com/article/7413259.html</t>
  </si>
  <si>
    <t>北京脑连科技有限公司</t>
  </si>
  <si>
    <t>脑机接口医疗与智能硬件研发平台</t>
  </si>
  <si>
    <t>研发/样机阶段，注册信息未公开</t>
  </si>
  <si>
    <t>2024年获诚益通体系战略投资，金额未披露</t>
  </si>
  <si>
    <t>中：产业方协同明确，但独立产品与临床证据披露较少</t>
  </si>
  <si>
    <t>核心企业</t>
  </si>
  <si>
    <t>https://www.460.net.cn/news/show-359821.html</t>
  </si>
  <si>
    <t>北京脑陆科技有限公司</t>
  </si>
  <si>
    <t>非侵入式</t>
  </si>
  <si>
    <t>EEG采集硬件、脑电AI算法及情绪/认知/睡眠应用</t>
  </si>
  <si>
    <t>产品化与场景验证阶段；医疗注册信息未充分公开</t>
  </si>
  <si>
    <t>完成多轮股权融资，世纪华通等参与；金额未完整披露</t>
  </si>
  <si>
    <t>中高：专利与应用场景丰富，消费/医疗边界和规模化能力需持续观察</t>
  </si>
  <si>
    <t>https://zscqj.hubei.gov.cn/bmdt/ztzl/2023zt/zhlh2023/202601/t20260116_5857083.shtml
https://pdf.dfcfw.com/pdf/H301_AP202605101822122234_1.pdf</t>
  </si>
  <si>
    <t>北京宁矩科技有限公司（NeuraMatrix）</t>
  </si>
  <si>
    <t>侵入式</t>
  </si>
  <si>
    <t>高通量神经信号采集芯片、植入式电极与无线脑机接口平台</t>
  </si>
  <si>
    <t>临床前/动物验证；人体注册进展未见稳定公开信息</t>
  </si>
  <si>
    <t>A轮；华盖资本、经纬创投等参与，金额未公开</t>
  </si>
  <si>
    <t>中高：具备芯片—电极—系统全栈能力，侵入式平台稀缺；注册路径仍待验证</t>
  </si>
  <si>
    <t>https://www.ncsti.gov.cn/kjdt/ztbd/xydrgzn/lbt_848/202112/P020211231639066065610.pdf
https://www.460.net.cn/news/show-359821.html</t>
  </si>
  <si>
    <t>北京品驰医疗设备有限公司</t>
  </si>
  <si>
    <t>侵入式神经调控</t>
  </si>
  <si>
    <t>DBS、VNS、SCS等植入式神经刺激系统及程控平台</t>
  </si>
  <si>
    <t>多款三类植入器械已商业化；脑机接口融合处于拓展阶段</t>
  </si>
  <si>
    <t>多轮融资后实现产业化，具体最新轮次未披露</t>
  </si>
  <si>
    <t>中高：植入器械注册、制造与医院渠道优势突出；BCI读取能力仍在延展</t>
  </si>
  <si>
    <t>https://wap.miit.gov.cn/cms_files/filemanager/1226211233/attach/20256/65ade62451fe4eb09e40e5576208b989.docx
https://pdf.dfcfw.com/pdf/H301_AP202605101822122234_1.pdf</t>
  </si>
  <si>
    <t>北京儒奥医疗科技有限公司</t>
  </si>
  <si>
    <t>非侵入式/经颅超声</t>
  </si>
  <si>
    <t>头戴式经颅超声治疗头、经颅超声神经调控机器人和神经康复方案</t>
  </si>
  <si>
    <t>经颅超声产品已有注册与医院应用；机器人项目处于创新任务阶段</t>
  </si>
  <si>
    <t>中高：无创深部神经调控方向差异化，注册基础较好；闭环脑机能力仍需临床验证</t>
  </si>
  <si>
    <t>邻近应用/神经调控</t>
  </si>
  <si>
    <t>https://xxcx.yjj.beijing.gov.cn/eportal/ui?pageId=723864
https://kcycrawlerfile.oss-cn-beijing.aliyuncs.com/2026/01/12/900eeb7687194399bf85a452ae3d180c.pdf</t>
  </si>
  <si>
    <t>北京神舞科技有限公司（NeuroDance）</t>
  </si>
  <si>
    <t>ND系列脑电采集系统、睡眠监测、脑控无人机与认知训练产品</t>
  </si>
  <si>
    <t>ND系列已获二类医疗器械资质；消费级产品已销售</t>
  </si>
  <si>
    <t>2026年A轮数千万元；更早轮次未完整披露</t>
  </si>
  <si>
    <t>中高：清华团队、医疗资质和实时远程脑电产品形成差异化</t>
  </si>
  <si>
    <t>https://www.neurodance.cn/</t>
  </si>
  <si>
    <t>北京芯智达神经技术有限公司</t>
  </si>
  <si>
    <t>半侵入式/侵入式</t>
  </si>
  <si>
    <t>“北脑一号/北脑二号”柔性高通量无线全植入脑机系统</t>
  </si>
  <si>
    <t>已启动注册临床试验</t>
  </si>
  <si>
    <t>北京市财政与中关村发展集团出资设立，首期注册资本1亿元</t>
  </si>
  <si>
    <t>高：政府牵引、医研协同和注册临床进度领先</t>
  </si>
  <si>
    <t>https://paper.people.com.cn/rmrb/pc/attachement/202604/14/7cc56cec-11a5-491b-97d2-a98ba8423cad.pdf
https://www.460.net.cn/news/show-359821.html</t>
  </si>
  <si>
    <t>北京银河方圆科技有限公司</t>
  </si>
  <si>
    <t>非侵入式/精准神经调控</t>
  </si>
  <si>
    <t>脑环路起搏器、可视化导航经颅磁刺激及阿尔茨海默病经颅刺激系统</t>
  </si>
  <si>
    <t>已取得医疗器械生产许可；相关项目入选国家创新任务</t>
  </si>
  <si>
    <t>中高：脑科学园区与临床资源协同强，已形成明确的检测—导航—调控路径</t>
  </si>
  <si>
    <t>https://invest.beijing.gov.cn/zwgk/sqgzdt/202606/t20260626_4726234.html
https://kcycrawlerfile.oss-cn-beijing.aliyuncs.com/2026/01/12/900eeb7687194399bf85a452ae3d180c.pdf</t>
  </si>
  <si>
    <t>北京优脑银河科技有限公司</t>
  </si>
  <si>
    <t>个体化脑功能图谱、脑网络检测与精准调控平台</t>
  </si>
  <si>
    <t>科研与临床合作阶段；部分产品处于注册/验证过程中</t>
  </si>
  <si>
    <t>已完成多轮融资，公开金额不完整</t>
  </si>
  <si>
    <t>中高：脑功能图谱技术有壁垒，商业化依赖临床证据与适应证拓展</t>
  </si>
  <si>
    <t>https://pdf.dfcfw.com/pdf/H3_AP202503041644026495_1.pdf
https://www.460.net.cn/news/show-359821.html</t>
  </si>
  <si>
    <t>北京智冉医疗科技有限公司</t>
  </si>
  <si>
    <t>侵入式/神经调控</t>
  </si>
  <si>
    <t>千通道级柔性电极、植入式脑机接口与神经调控平台</t>
  </si>
  <si>
    <t>注册临床推进中</t>
  </si>
  <si>
    <t>2026年完成约3亿元A+轮；中科创星领投，多家产业资本跟投</t>
  </si>
  <si>
    <t>高：资本、柔性电极和注册临床能力突出，属于侵入式第一梯队候选</t>
  </si>
  <si>
    <t>https://www.460.net.cn/news/show-359821.html
https://pdf.dfcfw.com/pdf/H301_AP202605101822122234_1.pdf</t>
  </si>
  <si>
    <t>超目科技（北京）有限公司</t>
  </si>
  <si>
    <t>视觉脑机接口/神经调控</t>
  </si>
  <si>
    <t>眼科神经调控产品i-NYS及视觉皮层脑机接口研发</t>
  </si>
  <si>
    <t>眼科产品上市；视觉皮层脑机接口处于研发/临床前阶段</t>
  </si>
  <si>
    <t>2025年完成B轮；2026年完成D轮，金额未披露</t>
  </si>
  <si>
    <t>中高：从眼科神经调控切入视觉BCI，临床团队和适应证路径清晰</t>
  </si>
  <si>
    <t>https://www.ncsti.gov.cn/kjdt/scyq/wlkxc/wldt/202607/t20260701_250579.html</t>
  </si>
  <si>
    <t>和泽启元（北京）科技有限公司</t>
  </si>
  <si>
    <t>柔性脑机接口</t>
  </si>
  <si>
    <t>柔性电极与脑机接口硬件，面向医疗健康和智能交互</t>
  </si>
  <si>
    <t>研发/场景验证阶段</t>
  </si>
  <si>
    <t>2023年天使轮约3000万元，昆仑资本投资</t>
  </si>
  <si>
    <t>中：柔性器件方向具备潜力，产品注册与客户验证尚早</t>
  </si>
  <si>
    <t>乐普（北京）医疗器械股份有限公司</t>
  </si>
  <si>
    <t>非侵入式/植入式布局</t>
  </si>
  <si>
    <t>通过睿瀚医疗布局脑机康复外骨骼，并拓展DBS等神经调控产品</t>
  </si>
  <si>
    <t>HandyBot已获NMPA认证；DBS产品已获证</t>
  </si>
  <si>
    <t>A股上市公司，控股子公司和自有资金投入</t>
  </si>
  <si>
    <t>中高：注册、渠道和产业化能力强；脑机业务需与集团其他产品分开评估</t>
  </si>
  <si>
    <t>https://pdf.dfcfw.com/pdf/H3_AP202601061816142041_1.pdf?1767725152000.pdf=</t>
  </si>
  <si>
    <t>三博脑科医院管理集团股份有限公司</t>
  </si>
  <si>
    <t>侵入式/临床转化</t>
  </si>
  <si>
    <t>脑机接口临床研究、机器人辅助电极植入及神经外科数据平台</t>
  </si>
  <si>
    <t>以医院临床研究和转化平台为主，不直接生产核心脑机整机</t>
  </si>
  <si>
    <t>创业板上市公司，通过医院体系持续投入</t>
  </si>
  <si>
    <t>中：病例资源和临床转化能力突出，但属于医疗服务平台而非设备厂商</t>
  </si>
  <si>
    <t>临床转化平台</t>
  </si>
  <si>
    <t>同心智医科技（北京）股份有限公司</t>
  </si>
  <si>
    <t>非侵入式/脑影像与康复</t>
  </si>
  <si>
    <t>医学影像、神经电生理数据平台及脑卒中非侵入式脑机接口综合康复方案</t>
  </si>
  <si>
    <t>方案已推进商业化项目落地；具体注册信息需逐项核验</t>
  </si>
  <si>
    <t>中：具备脑影像与临床数据积累，脑机接口收入贡献与产品边界尚需拆分</t>
  </si>
  <si>
    <t>https://www.tongxinzhiyi.cn/index.html</t>
  </si>
  <si>
    <t>中科搏锐（北京）科技有限公司</t>
  </si>
  <si>
    <t>非侵入式/多模态监测</t>
  </si>
  <si>
    <t>EEG-fNIRS光电同步脑功能成像、全脑多通道脑氧监护及脑机接口临床平台</t>
  </si>
  <si>
    <t>两款创新器械、8项国内注册证及CE认证；已进入600余家医院</t>
  </si>
  <si>
    <t>2026年完成数千万元B轮，三泽创投投资</t>
  </si>
  <si>
    <t>高：脑监护与成像产品已规模化进入医院，属于中科院成果转化型临床脑机平台</t>
  </si>
  <si>
    <t>邻近应用/临床设备</t>
  </si>
  <si>
    <t>https://www.ncsti.gov.cn/kjdt/scyq/zgckxc/zgcdt/202603/t20260311_240593.html
https://www.sohu.com/a/1017268693_121277055</t>
  </si>
  <si>
    <t>中科知影（北京）科技有限公司</t>
  </si>
  <si>
    <t>非侵入式脑磁接口</t>
  </si>
  <si>
    <t>原子磁力计脑磁图系统及脑磁数据分析服务</t>
  </si>
  <si>
    <t>科研/临床研究设备阶段</t>
  </si>
  <si>
    <t>A轮；英诺、金科君创、国泰创投等参与，金额未公开</t>
  </si>
  <si>
    <t>中高：OPM脑磁图属于稀缺上游平台，具备科研向临床转化潜力</t>
  </si>
  <si>
    <t>关键器件/平台</t>
  </si>
  <si>
    <t>大天医学工程（天津）有限公司</t>
  </si>
  <si>
    <t>非侵入式/脑机康复</t>
  </si>
  <si>
    <t>脑—机—肌信息环路助行机器人和神经康复系统</t>
  </si>
  <si>
    <t>科研成果转化与产品化阶段</t>
  </si>
  <si>
    <t>中：天津大学医工协同基础较强，产品注册与规模化客户信息待补充</t>
  </si>
  <si>
    <t>天津</t>
  </si>
  <si>
    <t>邻近应用/康复设备</t>
  </si>
  <si>
    <t>https://zscqj.hubei.gov.cn/bmdt/ztzl/2023zt/zhlh2023/202601/t20260116_5857083.shtml</t>
  </si>
  <si>
    <t>神工谛听（天津）科技有限公司</t>
  </si>
  <si>
    <t>非侵入式/采集与刺激</t>
  </si>
  <si>
    <t>低噪声脑电采集、高密度电刺激、群体脑机接口和教学系统</t>
  </si>
  <si>
    <t>已向多所高校、医院交付平台项目</t>
  </si>
  <si>
    <t>融资情况未公开</t>
  </si>
  <si>
    <t>中高：天津大学脑机生态协同明显，科研市场已有交付；医疗注册尚待推进</t>
  </si>
  <si>
    <t>核心企业/科研平台</t>
  </si>
  <si>
    <t>燧世（天津）智能科技有限公司</t>
  </si>
  <si>
    <t>“神工”系列脑电采集、听觉评估、抑郁评估与康复设备</t>
  </si>
  <si>
    <t>部分产品已获二类医疗器械证，持续临床应用</t>
  </si>
  <si>
    <t>天开园孵化，融资情况未充分公开</t>
  </si>
  <si>
    <t>中高：天津大学成果转化与医疗注册基础较好</t>
  </si>
  <si>
    <t>https://kxjs.tj.gov.cn/ZWGK4143/ZXGZ7816/sysgz/gzdtsys/202505/t20250523_6937987.html</t>
  </si>
  <si>
    <t>天津明视脑机科技有限公司</t>
  </si>
  <si>
    <t>视觉脑机接口</t>
  </si>
  <si>
    <t>视觉重建与消费级脑机接口产品</t>
  </si>
  <si>
    <t>研发/临床前阶段</t>
  </si>
  <si>
    <t>2026年天使轮系列累计约1.5亿元</t>
  </si>
  <si>
    <t>中高：资金与视觉重建方向突出，仍需技术和临床验证</t>
  </si>
  <si>
    <t>天津脑机接口产业集团有限公司</t>
  </si>
  <si>
    <t>产业平台/多路线</t>
  </si>
  <si>
    <t>脑机接口成果转化、产业投资与子公司孵化平台</t>
  </si>
  <si>
    <t>平台建设与项目落地阶段</t>
  </si>
  <si>
    <t>2026年由海河实验室、天大科技园、泰达控股等战略出资，注册资本10亿元</t>
  </si>
  <si>
    <t>高：国资、实验室与产业平台一体化，需观察子公司产品兑现</t>
  </si>
  <si>
    <t>产业平台</t>
  </si>
  <si>
    <t>天津一行与航科技有限公司</t>
  </si>
  <si>
    <t>侵入式芯片</t>
  </si>
  <si>
    <t>刺激、同步/异步采集和高通量数据传输脑机芯片及IP定制</t>
  </si>
  <si>
    <t>多款芯片已完成硅基验证，提供定制和授权服务</t>
  </si>
  <si>
    <t>中高：专用芯片矩阵完整，量产良率、客户验证和收入规模是关键</t>
  </si>
  <si>
    <t>中电云脑（天津）科技有限公司</t>
  </si>
  <si>
    <t>非侵入式/芯片</t>
  </si>
  <si>
    <t>“脑语者”编解码芯片、脑电采集芯片、脑机接口软件与神工系列产品</t>
  </si>
  <si>
    <t>部分二类医疗器械已获证并应用</t>
  </si>
  <si>
    <t>2024年A轮，金额未披露</t>
  </si>
  <si>
    <t>高：央企平台、自主芯片与产品体系完整，临床规模化能力较强</t>
  </si>
  <si>
    <t>https://www.cecbrain.com/</t>
  </si>
  <si>
    <t>河北格美医疗器械科技有限公司</t>
  </si>
  <si>
    <t>非侵入式/脑电治疗</t>
  </si>
  <si>
    <t>脑电治疗仪及康复理疗设备</t>
  </si>
  <si>
    <t>产品已商业化；与实时解码闭环脑机接口的直接程度有限</t>
  </si>
  <si>
    <t>观察：属于中科搏锐式脑部诊疗设备邻近企业，需核验脑电采集、解码和闭环能力</t>
  </si>
  <si>
    <t>石家庄</t>
  </si>
  <si>
    <t>https://gmkf.cn/</t>
  </si>
  <si>
    <t>辽宁舜脑智能科技有限公司</t>
  </si>
  <si>
    <t>非侵入式/康复系统集成</t>
  </si>
  <si>
    <t>脑机接口康复训练、手功能康复和脑机外骨骼项目建设及系统交付</t>
  </si>
  <si>
    <t>已中标大连医院脑机接口设备项目；部分设备由合作厂商供货</t>
  </si>
  <si>
    <t>观察：具备项目落地和渠道能力，但核心产品自主性需与山东海天等供应商拆分核验</t>
  </si>
  <si>
    <t>大连</t>
  </si>
  <si>
    <t>产业项目/渠道</t>
  </si>
  <si>
    <t>https://www.ccgp.gov.cn/cggg/dfgg/zbgg/202512/t20251223_25973430.htm</t>
  </si>
  <si>
    <t>国科欣脑（上海）智能科技有限公司</t>
  </si>
  <si>
    <t>非侵入式/消费与科研</t>
  </si>
  <si>
    <t>多模态脑机接口工作站、脑机接口耳机、脑电采集模组及助听器方案</t>
  </si>
  <si>
    <t>2025年成立，处于原型研发与早期产品化阶段</t>
  </si>
  <si>
    <t>观察：产品矩阵覆盖采集模组到终端，但成立时间短、医疗资质和客户验证有限</t>
  </si>
  <si>
    <t>上海</t>
  </si>
  <si>
    <t>邻近应用/早期企业</t>
  </si>
  <si>
    <t>https://www.gkxn.com.cn/</t>
  </si>
  <si>
    <t>锦脑医疗科技（上海）有限公司</t>
  </si>
  <si>
    <t>植入式脑机接口与神经调控临床产品</t>
  </si>
  <si>
    <t>2026年完成数千万元天使轮</t>
  </si>
  <si>
    <t>中：临床产品方向明确，处于早期，需要观察注册与动物/人体数据</t>
  </si>
  <si>
    <t>https://www.jnmedtech.com/</t>
  </si>
  <si>
    <t>聚芯医疗科技（上海）有限公司</t>
  </si>
  <si>
    <t>侵入式/医疗器械</t>
  </si>
  <si>
    <t>脑机接口与神经调控医疗器械平台</t>
  </si>
  <si>
    <t>研发/临床转化阶段</t>
  </si>
  <si>
    <t>2026年完成近2亿元C轮</t>
  </si>
  <si>
    <t>中高：资本认可度高，公开产品与临床细节有待补充</t>
  </si>
  <si>
    <t>上海傲意信息科技有限公司</t>
  </si>
  <si>
    <t>非侵入式神经接口/肌电接口</t>
  </si>
  <si>
    <t>智能仿生手、外骨骼、神经肌电控制平台</t>
  </si>
  <si>
    <t>产品已商业化并进入康复与消费场景</t>
  </si>
  <si>
    <t>2026年完成约1.5亿元C轮，中金脑科学基金领投</t>
  </si>
  <si>
    <t>中高：商业化和量产能力较强，但严格意义BCI占比需区分</t>
  </si>
  <si>
    <t>上海帝仪科技有限公司</t>
  </si>
  <si>
    <t>非侵入式/脑电监测</t>
  </si>
  <si>
    <t>高性能脑电采集、睡眠与脑功能评估系统</t>
  </si>
  <si>
    <t>研发与科研/医疗场景验证阶段</t>
  </si>
  <si>
    <t>中：标准化参与度高，需补充获证产品与商业化数据</t>
  </si>
  <si>
    <t>https://wap.miit.gov.cn/cms_files/filemanager/1226211233/attach/20256/65ade62451fe4eb09e40e5576208b989.docx</t>
  </si>
  <si>
    <t>上海东脑智合技术有限公司</t>
  </si>
  <si>
    <t>侵入式脑机接口全栈系统与医疗可穿戴产品</t>
  </si>
  <si>
    <t>2026年A轮，金额未披露</t>
  </si>
  <si>
    <t>中：全栈定位清晰，公开技术和临床数据有限</t>
  </si>
  <si>
    <t>上海复通汇智医疗科技有限公司</t>
  </si>
  <si>
    <t>超声脑机接口</t>
  </si>
  <si>
    <t>tFUS-Mind超声脑机接口与神经调控设备</t>
  </si>
  <si>
    <t>原型/临床前研究阶段</t>
  </si>
  <si>
    <t>2026年天使轮，金额未披露</t>
  </si>
  <si>
    <t>中高：超声路径具前沿性，需验证安全性、分辨率和临床适应证</t>
  </si>
  <si>
    <t>上海海每康智能医疗科技有限公司</t>
  </si>
  <si>
    <t>非侵入式/外骨骼</t>
  </si>
  <si>
    <t>基于脑可塑模型的柔性控制外骨骼与康复系统</t>
  </si>
  <si>
    <t>样机与场景验证阶段</t>
  </si>
  <si>
    <t>2024年近千万元天使轮，汉理资本投资</t>
  </si>
  <si>
    <t>中：脑机+外骨骼场景明确，医院验证和注册进度待观察</t>
  </si>
  <si>
    <t>上海阶梯医疗科技有限公司</t>
  </si>
  <si>
    <t>超柔性微纳电极、全植入无线脑机接口系统与手术配套</t>
  </si>
  <si>
    <t>进入创新器械绿色通道并推进多中心注册临床</t>
  </si>
  <si>
    <t>2026年完成约5亿元战略融资；近一年累计融资超过11亿元</t>
  </si>
  <si>
    <t>高：柔性电极、植入系统、资本与临床进度均处国内前列</t>
  </si>
  <si>
    <t>上海锦徕信息科技有限公司</t>
  </si>
  <si>
    <t>脑机数据平台</t>
  </si>
  <si>
    <t>脑科学数据协同、脑疾病数据管理、脑机数据融合分析与医学影像科研平台</t>
  </si>
  <si>
    <t>已在50余家产学研医客户部署</t>
  </si>
  <si>
    <t>中：脑机数据基础设施定位明确，竞争力取决于医院数据壁垒和算法生态</t>
  </si>
  <si>
    <t>关键器件/数据平台</t>
  </si>
  <si>
    <t>上海空山慈科技有限公司</t>
  </si>
  <si>
    <t>非侵入式神经调控</t>
  </si>
  <si>
    <t>脑信号解析与超声/磁/电/光多模态调控平台</t>
  </si>
  <si>
    <t>临床前/概念验证阶段</t>
  </si>
  <si>
    <t>2026年Pre-A轮，云启资本领投，金额未披露</t>
  </si>
  <si>
    <t>中高：多模态神经调控平台有潜力，仍处早期验证</t>
  </si>
  <si>
    <t>上海零唯一思科技有限公司</t>
  </si>
  <si>
    <t>情感脑机接口</t>
  </si>
  <si>
    <t>情绪评估、抑郁筛查与脑电大模型平台</t>
  </si>
  <si>
    <t>科研成果与标准验证阶段；医疗注册信息未充分公开</t>
  </si>
  <si>
    <t>中高：情感BCI和脑电大模型定位鲜明，商业化证据仍需积累</t>
  </si>
  <si>
    <t>https://sdodt.com/index.php?c=show&amp;id=57&amp;s=xinwen</t>
  </si>
  <si>
    <t>上海脑虎科技有限公司（NeuroXess）</t>
  </si>
  <si>
    <t>高通量柔性电极、全植入全无线脑机系统及语言/运动解码</t>
  </si>
  <si>
    <t>已开展多例科研型短期临床，推进全植入长期临床流程</t>
  </si>
  <si>
    <t>完成A+轮及后续数亿元融资，红杉、上海国资等参与</t>
  </si>
  <si>
    <t>高：柔性电极和临床数据领先，语言解码和规模化制造具差异化</t>
  </si>
  <si>
    <t>https://www.shanghai.gov.cn/nw15343/20260701/d70cbf021f944ad48aeeb72c5e8a6ce4.html
https://pdf.dfcfw.com/pdf/H301_AP202605101822122234_1.pdf</t>
  </si>
  <si>
    <t>上海脑回跃变科技有限公司</t>
  </si>
  <si>
    <t>非侵入式/认知脑机</t>
  </si>
  <si>
    <t>基于脑机接口的认知障碍筛查、干预和新型电极合作开发</t>
  </si>
  <si>
    <t>科研项目与早期产品开发阶段</t>
  </si>
  <si>
    <t>观察：已获上海科研项目支持并进入专业孵化器，产品与临床信息仍少</t>
  </si>
  <si>
    <t>https://stcsm.sh.gov.cn/cmsres/a3/a39dcd06338c46fbbcf83f507b68e256/e89f86f04c780532c020527f31cbc698.pdf
https://www.shanghai.gov.cn/nw15343/20250714/38d480e4573a49778830ea605991e599.html</t>
  </si>
  <si>
    <t>上海脑韵科技有限公司</t>
  </si>
  <si>
    <t>耳内式非侵入式</t>
  </si>
  <si>
    <t>入耳式脑电耳机与连续脑状态监测</t>
  </si>
  <si>
    <t>消费级原型/产品化阶段</t>
  </si>
  <si>
    <t>2025年千万级天使轮</t>
  </si>
  <si>
    <t>中：形态创新有消费潜力，信号质量和医疗价值需验证</t>
  </si>
  <si>
    <t>上海念通智能科技有限公司</t>
  </si>
  <si>
    <t>脑卒中主动康复脑机接口训练系统、脑电采集与科研平台</t>
  </si>
  <si>
    <t>产品定型并在康复场景应用，医疗注册持续推进</t>
  </si>
  <si>
    <t>2025年完成数千万元Pre-A+轮</t>
  </si>
  <si>
    <t>中高：上海交大成果转化、康复场景清晰，规模化仍在早期</t>
  </si>
  <si>
    <t>https://econtek.cn/aboutus
https://www.460.net.cn/news/show-359821.html</t>
  </si>
  <si>
    <t>上海诺诚电气股份有限公司</t>
  </si>
  <si>
    <t>非侵入式/临床电生理</t>
  </si>
  <si>
    <t>脑电图、肌电图、术中神经监测、睡眠监测及脑机接口联创平台</t>
  </si>
  <si>
    <t>拥有30余项Ⅱ/Ⅲ类注册证，覆盖5000余家临床用户</t>
  </si>
  <si>
    <t>中高：临床脑电设备、注册和渠道基础强，是脑机接口数据入口型企业</t>
  </si>
  <si>
    <t>邻近应用/临床电生理</t>
  </si>
  <si>
    <t>https://www.cnnation.com/
https://www.nccmed.com.cn/newsinfo/11117329.html</t>
  </si>
  <si>
    <t>上海韶脑传感技术有限公司</t>
  </si>
  <si>
    <t>非侵入式/运动想象</t>
  </si>
  <si>
    <t>脑电采集、运动想象脑机接口及心理/康复解决方案</t>
  </si>
  <si>
    <t>产品研发与场景验证阶段；注册信息未充分公开</t>
  </si>
  <si>
    <t>中：上海大学团队积累较深，严肃医疗产品注册与规模化进度需继续跟踪</t>
  </si>
  <si>
    <t>邻近应用/脑电系统</t>
  </si>
  <si>
    <t>上海术理智能科技有限公司</t>
  </si>
  <si>
    <t>非侵入式/智能康复</t>
  </si>
  <si>
    <t>多模态脑机接口、智能康复机器人和医疗可穿戴系统</t>
  </si>
  <si>
    <t>部分产品进入医院与康复场景；持续推进医疗注册</t>
  </si>
  <si>
    <t>2026年完成C轮，金额达亿元级；累计多轮融资</t>
  </si>
  <si>
    <t>中高：产品矩阵和产业合作较完整，临床价值证据需持续积累</t>
  </si>
  <si>
    <t>上海曦涟科技有限公司（SiClink）</t>
  </si>
  <si>
    <t>侵入式/双向接口</t>
  </si>
  <si>
    <t>超柔神经电极、双向脑机解码模组、神经调控检测及视觉重建系统</t>
  </si>
  <si>
    <t>原型研发/临床前阶段</t>
  </si>
  <si>
    <t>2026年连续完成数千万元种子轮和天使轮，蓝驰、高瓴等投资</t>
  </si>
  <si>
    <t>中高：双向视觉重建路线前沿，资本认可度较高；处于早期、临床风险高</t>
  </si>
  <si>
    <t>核心企业/早期</t>
  </si>
  <si>
    <t>https://www.vbdata.cn/newsDetail/5108b9185eec11f1a50800163e034e34
https://finance.sina.com.cn/jjxw/2026-07-23/doc-iniiusky8286446.shtml</t>
  </si>
  <si>
    <t>上海心玮医疗科技股份有限公司</t>
  </si>
  <si>
    <t>介入式</t>
  </si>
  <si>
    <t>经血管脑机传感器与神经介入器械研究</t>
  </si>
  <si>
    <t>动物/临床前研究阶段</t>
  </si>
  <si>
    <t>已上市融资；BCI专项投入未单独披露</t>
  </si>
  <si>
    <t>中：介入器械经验扎实，脑机传感器尚需临床转化</t>
  </si>
  <si>
    <t>上海岩思类脑人工智能研究院有限公司</t>
  </si>
  <si>
    <t>非侵入式/脑电大模型</t>
  </si>
  <si>
    <t>脑电基础模型、中文语言解码和类脑智能算法平台</t>
  </si>
  <si>
    <t>研发与验证阶段，已有公开竞赛和科研成果</t>
  </si>
  <si>
    <t>上海岩山科技全资投入</t>
  </si>
  <si>
    <t>中高：脑电大模型和语言解码具差异化，但医疗产品注册与商业模式仍待验证</t>
  </si>
  <si>
    <t>关联布局/算法平台</t>
  </si>
  <si>
    <t>https://www.insidebrain.com/
https://pdf.dfcfw.com/pdf/H2_AN202508251734159068_1.PDF?t=1758170224558</t>
  </si>
  <si>
    <t>上海云帆未来医疗器械科技有限公司</t>
  </si>
  <si>
    <t>超柔性橡胶材料电极及长期神经接口系统</t>
  </si>
  <si>
    <t>临床前/动物验证阶段</t>
  </si>
  <si>
    <t>早期融资未完整披露</t>
  </si>
  <si>
    <t>中高：柔性材料路线差异化明显，长期稳定性和工艺放大是关键</t>
  </si>
  <si>
    <t>https://www.shanghai.gov.cn/nw15343/20260701/d70cbf021f944ad48aeeb72c5e8a6ce4.html</t>
  </si>
  <si>
    <t>微创脑科学（上海）有限公司</t>
  </si>
  <si>
    <t>介入式/侵入式布局</t>
  </si>
  <si>
    <t>经血管支架电极、神经介入与脑机接口平台探索</t>
  </si>
  <si>
    <t>介入式脑机接口处于研发/动物试验阶段</t>
  </si>
  <si>
    <t>上市公司体系支持，专项融资未单独披露</t>
  </si>
  <si>
    <t>中高：神经介入器械和渠道优势明显，BCI产品仍早期</t>
  </si>
  <si>
    <t>心语未来（上海）医疗科技有限公司</t>
  </si>
  <si>
    <t>非侵入式/神经解码</t>
  </si>
  <si>
    <t>下一代非侵入式脑机系统、神经信号解码及意图识别平台</t>
  </si>
  <si>
    <t>早期研发与合作验证阶段</t>
  </si>
  <si>
    <t>观察：已进入上海脑机产业集聚区并开展前沿计算合作，产品临床进展待披露</t>
  </si>
  <si>
    <t>https://www.shanghai.gov.cn/nw15343/20250714/38d480e4573a49778830ea605991e599.html
https://finance.sina.com.cn/jjxw/2026-07-23/doc-iniiusky8286446.shtml</t>
  </si>
  <si>
    <t>博睿康科技（常州）股份有限公司（Neuracle）</t>
  </si>
  <si>
    <t>非侵入式/半侵入式</t>
  </si>
  <si>
    <t>科研级脑电、医疗级脑电与NEO微创植入式脑机接口系统</t>
  </si>
  <si>
    <t>NEO获三类医疗器械注册证并进入临床应用；多条产品线已商业化</t>
  </si>
  <si>
    <t>E轮及以后；2026年科创板IPO获受理，拟募资25亿元</t>
  </si>
  <si>
    <t>高：采集设备现金流、植入式获证与IPO进展构成综合领先优势</t>
  </si>
  <si>
    <t>常州</t>
  </si>
  <si>
    <t>https://qxb-pdf-osscache.qixin.com/AnBaseinfo/38576b8f5a72cec662cce82d85be813f.pdf
https://pdf.dfcfw.com/pdf/H301_AP202605101822122234_1.pdf</t>
  </si>
  <si>
    <t>常州航脑科技有限公司</t>
  </si>
  <si>
    <t>非侵入式/可穿戴</t>
  </si>
  <si>
    <t>脑机接口医疗器械与可穿戴设备</t>
  </si>
  <si>
    <t>研发/样机阶段</t>
  </si>
  <si>
    <t>2026年获战略投资，金额未披露</t>
  </si>
  <si>
    <t>观察：处于早期，需核验产品指标、客户与注册计划</t>
  </si>
  <si>
    <t>常州瑞神安医疗器械有限公司</t>
  </si>
  <si>
    <t>侵入式/植入神经调控</t>
  </si>
  <si>
    <t>DBS、SCS、VNS、SEEG颅内电极及耳甲迷走神经刺激产品</t>
  </si>
  <si>
    <t>多款Ⅲ类产品已获批；CNS脑深部刺激系统2025年获批</t>
  </si>
  <si>
    <t>已完成多轮融资，爱朋医疗、荣安创投等参与</t>
  </si>
  <si>
    <t>高：植入器械注册和全产品线优势突出，是双向脑机/闭环调控的重要邻近平台</t>
  </si>
  <si>
    <t>邻近应用/植入调控</t>
  </si>
  <si>
    <t>https://www.rishena.com/</t>
  </si>
  <si>
    <t>常州弈脑科技有限公司</t>
  </si>
  <si>
    <t>脑机接口/神经调控</t>
  </si>
  <si>
    <t>脑机接口与神经调控产品（公开细节有限）</t>
  </si>
  <si>
    <t>观察：入选省级产融路演，公开信息较少</t>
  </si>
  <si>
    <t>https://www.jiangsu.gov.cn/art/2026/5/28/art_60095_11777182.html</t>
  </si>
  <si>
    <t>丹阳慧创医疗设备有限公司</t>
  </si>
  <si>
    <t>非侵入式/fNIRS</t>
  </si>
  <si>
    <t>近红外脑功能成像与脑功能监测系统</t>
  </si>
  <si>
    <t>多款设备已商业化并进入医院/科研机构</t>
  </si>
  <si>
    <t>中高：fNIRS国产化和临床渠道较成熟，严格BCI交互能力需区分</t>
  </si>
  <si>
    <t>丹阳</t>
  </si>
  <si>
    <t>https://www.tjh.com.cn/api/preview/1/125/55927</t>
  </si>
  <si>
    <t>江苏阿德智能科技有限公司</t>
  </si>
  <si>
    <t>远程脑机大脑健康检测与数字化闭环干预产品</t>
  </si>
  <si>
    <t>产品化/场景验证阶段</t>
  </si>
  <si>
    <t>中：远程脑健康场景明确，医学证据与合规边界需关注</t>
  </si>
  <si>
    <t>南京</t>
  </si>
  <si>
    <t>https://www.nanjing.gov.cn/xxgkn/jytabljggk/2025njytabl/shizxta/202512/t20251203_5704650.html</t>
  </si>
  <si>
    <t>江苏爱朋医疗科技股份有限公司</t>
  </si>
  <si>
    <t>植入式/非侵入式投资布局</t>
  </si>
  <si>
    <t>参股瑞神安、设立脑机接口基金并通过朋睿脑科学开展脑电与麻醉监护研究</t>
  </si>
  <si>
    <t>瑞神安多款植入产品已获证；自身脑机产品处于布局阶段</t>
  </si>
  <si>
    <t>创业板上市公司，以产业投资和控股子公司方式投入</t>
  </si>
  <si>
    <t>中：资本与临床渠道协同明显，自研脑机核心技术占比需进一步核验</t>
  </si>
  <si>
    <t>南通</t>
  </si>
  <si>
    <t>https://file.finance.sina.com.cn/cn/diaoyan/jgdy/2026/2026-03/2026-03-09/10175735_1.PDF</t>
  </si>
  <si>
    <t>江苏德长医疗科技有限公司</t>
  </si>
  <si>
    <t>非侵入式/脑肌电与动作捕捉</t>
  </si>
  <si>
    <t>无线表面肌电/脑电系统、动作捕捉、步态分析和智能助行平台</t>
  </si>
  <si>
    <t>科研与康复产品已商业化</t>
  </si>
  <si>
    <t>中：多模态运动—脑肌电工具适合脑机康复研发，医疗级闭环产品仍需核验</t>
  </si>
  <si>
    <t>常熟</t>
  </si>
  <si>
    <t>江苏东健脑际医疗技术有限公司</t>
  </si>
  <si>
    <t>非侵入式/工业安全</t>
  </si>
  <si>
    <t>多模态脑电解析与工业人员疲劳、注意力风险监测系统</t>
  </si>
  <si>
    <t>工业场景验证与产品化阶段</t>
  </si>
  <si>
    <t>中：将医疗级脑电用于工业安全，场景差异化明显；规模化订单与误报控制待验证</t>
  </si>
  <si>
    <t>邻近应用/工业脑机</t>
  </si>
  <si>
    <t>江苏集萃脑科技股份有限公司</t>
  </si>
  <si>
    <t>非侵入式/类脑平台</t>
  </si>
  <si>
    <t>脑机接口与类脑智能技术研发、转化和产业服务平台</t>
  </si>
  <si>
    <t>科研转化与项目孵化阶段</t>
  </si>
  <si>
    <t>江苏省产业技术研究院等战略投资</t>
  </si>
  <si>
    <t>中高：省级平台资源强，市场化产品和收入需要进一步拆分</t>
  </si>
  <si>
    <t>苏州</t>
  </si>
  <si>
    <t>景昱医疗科技（苏州）股份有限公司</t>
  </si>
  <si>
    <t>侵入式/DBS脑机接口</t>
  </si>
  <si>
    <t>脑深部电刺激、可感知脑机接口DBS及功能神经疾病治疗系统</t>
  </si>
  <si>
    <t>DBS产品已商业化，多项脑机接口产品推进创新审批与临床转化</t>
  </si>
  <si>
    <t>D+轮融资3亿元；高瓴、红杉、软银等参与多轮融资</t>
  </si>
  <si>
    <t>高：具备芯片—电极—算法—电池全链能力和临床注册基础</t>
  </si>
  <si>
    <t>https://www.sceneray.com/</t>
  </si>
  <si>
    <t>科斗（苏州）脑机科技有限公司</t>
  </si>
  <si>
    <t>侵入式/神经电生理工具</t>
  </si>
  <si>
    <t>神经微电极、在体电生理设备及脑机接口科研工具</t>
  </si>
  <si>
    <t>40余种产品已商业化，累计服务上千家单位</t>
  </si>
  <si>
    <t>中高：微电极科研工具品类和客户基础较强，是脑机研发上游的卖铲型企业</t>
  </si>
  <si>
    <t>https://www.kedoubc.com/cn/</t>
  </si>
  <si>
    <t>牧星生物材料（太仓）有限公司</t>
  </si>
  <si>
    <t>侵入式/精密部件</t>
  </si>
  <si>
    <t>植入式脑机接口和神经调控器械用电极导丝、触点电极线及精密金属部件</t>
  </si>
  <si>
    <t>已具备洁净制造和ISO13485体系，处于客户导入/供货阶段</t>
  </si>
  <si>
    <t>中：植入级精密部件有明确适配场景，客户认证和规模化订单是核心变量</t>
  </si>
  <si>
    <t>太仓</t>
  </si>
  <si>
    <t>关键器件/供应链</t>
  </si>
  <si>
    <t>纳实脑科学（丹阳）有限公司</t>
  </si>
  <si>
    <t>非侵入式/精神心理评估</t>
  </si>
  <si>
    <t>多模态情绪与精神健康分析评估、AI心理筛查及脑科学数据平台</t>
  </si>
  <si>
    <t>已落地十余所学校及神经专科医院</t>
  </si>
  <si>
    <t>获达安资本近千万元战略投资</t>
  </si>
  <si>
    <t>中：精神心理场景明确，但与传统脑电BCI的直接程度较弱，算法临床效度需持续验证</t>
  </si>
  <si>
    <t>南京奥德瑞医疗科技有限公司</t>
  </si>
  <si>
    <t>脑机接口医疗器械</t>
  </si>
  <si>
    <t>脑机接口与神经康复产品（公开细节有限）</t>
  </si>
  <si>
    <t>观察：省级路演企业，需持续核验产品与注册进展</t>
  </si>
  <si>
    <t>南京畅享医疗科技有限公司</t>
  </si>
  <si>
    <t>脑疾病与脑科学产品及脑机接口医疗解决方案</t>
  </si>
  <si>
    <t>研发/临床合作阶段</t>
  </si>
  <si>
    <t>2023年天使轮，金额未披露</t>
  </si>
  <si>
    <t>观察：定位明确，但公开产品和注册信息有限</t>
  </si>
  <si>
    <t>南京济磁再康医疗科技有限公司</t>
  </si>
  <si>
    <t>磁刺激、康复与脑机接口融合产品</t>
  </si>
  <si>
    <t>中：神经调控+康复路径明确，注册与临床数据待补充</t>
  </si>
  <si>
    <t>南京麦澜德医疗科技股份有限公司</t>
  </si>
  <si>
    <t>非侵入式/康复闭环</t>
  </si>
  <si>
    <t>脑机接口经颅磁刺激、软体手功能康复及盆底/认知康复升级方案</t>
  </si>
  <si>
    <t>软体手已临床应用；脑机接口经颅磁刺激产品推进注册</t>
  </si>
  <si>
    <t>科创板上市公司，与荣脑科技战略合作</t>
  </si>
  <si>
    <t>中高：临床渠道和产品化能力强，核心脑机技术主要依赖合作方</t>
  </si>
  <si>
    <t>https://pdf.dfcfw.com/pdf/H22_AN202512241807228939_1.pdf</t>
  </si>
  <si>
    <t>南京脑语未来科技有限公司</t>
  </si>
  <si>
    <t>脑电解码、沟通辅助与脑机交互系统</t>
  </si>
  <si>
    <t>中：沟通辅助需求明确，公开技术与临床信息有限</t>
  </si>
  <si>
    <t>南京山海医疗科技有限公司</t>
  </si>
  <si>
    <t>非侵入式/脑疾病数字诊疗</t>
  </si>
  <si>
    <t>脑机接口、AI算法、智能硬件及脑疾病筛查—干预—康复平台</t>
  </si>
  <si>
    <t>产品化与临床合作阶段</t>
  </si>
  <si>
    <t>中：数字诊疗全链条定位清晰，公开注册和收入信息仍有限</t>
  </si>
  <si>
    <t>南京伟思医疗科技股份有限公司</t>
  </si>
  <si>
    <t>非侵入式/闭环康复</t>
  </si>
  <si>
    <t>脑电采集、MagNeuroOne闭环神经调控机器人及脑机版康复训练系统</t>
  </si>
  <si>
    <t>既有康复与磁刺激产品已商业化；脑机版产品处于研发/注册阶段</t>
  </si>
  <si>
    <t>科创板上市公司持续研发投入</t>
  </si>
  <si>
    <t>中高：康复渠道和神经调控产品矩阵完整，BCI产品取证与差异化仍需跟踪</t>
  </si>
  <si>
    <t>南京熊猫电子股份有限公司</t>
  </si>
  <si>
    <t>非侵入式/系统集成</t>
  </si>
  <si>
    <t>脑机接口多模态人机交互系统集成</t>
  </si>
  <si>
    <t>省重点研发项目阶段</t>
  </si>
  <si>
    <t>A股上市公司自有资金投入</t>
  </si>
  <si>
    <t>中：系统集成能力较强，尚未形成独立成熟BCI产品线</t>
  </si>
  <si>
    <t>南京左右脑医疗科技集团有限公司</t>
  </si>
  <si>
    <t>非侵入式/闭环电刺激</t>
  </si>
  <si>
    <t>双向闭环经颅电刺激仪及脑功能评估—刺激干预方案</t>
  </si>
  <si>
    <t>入选2025年人工智能医疗器械创新任务，处于研发/注册推进阶段</t>
  </si>
  <si>
    <t>中高：双向闭环路径贴近治疗型脑机接口，注册与多中心临床结果是关键</t>
  </si>
  <si>
    <t>https://kcycrawlerfile.oss-cn-beijing.aliyuncs.com/2026/01/12/900eeb7687194399bf85a452ae3d180c.pdf</t>
  </si>
  <si>
    <t>普瑞精控医疗科技有限公司</t>
  </si>
  <si>
    <t>非侵入式/麻醉脑电监测</t>
  </si>
  <si>
    <t>基于脑电的麻醉深度、镇痛伤害指数监护及无创脑机接口监测平台</t>
  </si>
  <si>
    <t>麻醉监护产品已商业化，南京研发生产基地建设中</t>
  </si>
  <si>
    <t>已获首轮500万元融资</t>
  </si>
  <si>
    <t>中高：围术期脑电监测临床需求明确，产品化基础强；需核验迁址后的注册和产能承接</t>
  </si>
  <si>
    <t>https://invest.nanjing.gov.cn/gzdt/202603/t20260303_5799363.html
https://www.sohu.com/a/1017268693_121277055</t>
  </si>
  <si>
    <t>苏州念及智能科技有限公司</t>
  </si>
  <si>
    <t>非侵入式脑机接口硬件与交互产品</t>
  </si>
  <si>
    <t>研发/产品化阶段</t>
  </si>
  <si>
    <t>2026年近千万元天使轮</t>
  </si>
  <si>
    <t>中：已获产业资本支持，公开技术指标和场景验证有限</t>
  </si>
  <si>
    <t>苏州纽铃智医疗科技有限公司</t>
  </si>
  <si>
    <t>非侵入式/感知重建</t>
  </si>
  <si>
    <t>仿生眼、仿生耳及脑机接口康复医疗器械</t>
  </si>
  <si>
    <t>2024年数千万元天使轮，丹麓资本领投、可孚医疗跟投</t>
  </si>
  <si>
    <t>中高：感知重建方向临床价值高，但周期长、注册难度大</t>
  </si>
  <si>
    <t>苏州瑞意旭联医疗科技有限公司</t>
  </si>
  <si>
    <t>侵入式/脑脊接口</t>
  </si>
  <si>
    <t>植入式脑机接口与“脑脊接口”系统</t>
  </si>
  <si>
    <t>临床前，计划进入临床试验</t>
  </si>
  <si>
    <t>2026年Pre-A轮，苏州天使母基金等参与</t>
  </si>
  <si>
    <t>中高：脑脊接口方向前沿，临床与注册风险较高</t>
  </si>
  <si>
    <t>苏州塞伯坦医疗科技有限公司</t>
  </si>
  <si>
    <t>脑机接口医疗产品与临床转化方案（公开细节有限）</t>
  </si>
  <si>
    <t>观察：入选省级产融路演，需进一步核验产品、团队和融资</t>
  </si>
  <si>
    <t>无锡希润医疗器械有限公司</t>
  </si>
  <si>
    <t>非侵入式/康复机器人</t>
  </si>
  <si>
    <t>脑机接口康复系统、柔性手功能机器人和院内—社区—家庭云康复平台</t>
  </si>
  <si>
    <t>拥有多项NMPA/FDA/CE资质，2026年无锡总部基地投产</t>
  </si>
  <si>
    <t>中高：康复产品和制造体系成熟，脑机闭环算法与侵入式合作进展需持续核验</t>
  </si>
  <si>
    <t>无锡</t>
  </si>
  <si>
    <t>https://sirrem.com/about
https://www.sohu.com/a/1017268693_121277055</t>
  </si>
  <si>
    <t>无锡怡声微纳医疗科技有限公司</t>
  </si>
  <si>
    <t>无创超声/核心器件</t>
  </si>
  <si>
    <t>压电材料、超声换能器及神经调控用超声器件</t>
  </si>
  <si>
    <t>器件量产与客户验证阶段</t>
  </si>
  <si>
    <t>中：具备材料—换能器制造链，可受益于经颅超声路线；BCI专用收入未披露</t>
  </si>
  <si>
    <t>易格生物科技（南京）有限公司</t>
  </si>
  <si>
    <t>侵入式/科研电生理</t>
  </si>
  <si>
    <t>多通道神经电生理、行为学、成像与脑科学CRO工具平台</t>
  </si>
  <si>
    <t>科研产品和服务已规模化应用</t>
  </si>
  <si>
    <t>中：脑机与神经科学科研工具生态完整，临床器械相关度较间接</t>
  </si>
  <si>
    <t>中科意象（南京）科技有限公司</t>
  </si>
  <si>
    <t>多脑区微创植入式脑机接口与电极植入机器人</t>
  </si>
  <si>
    <t>临床前/系统研发阶段</t>
  </si>
  <si>
    <t>2026年数千万元天使轮</t>
  </si>
  <si>
    <t>中高：中科院自动化所成果转化，机器人+多脑区路线有差异化</t>
  </si>
  <si>
    <t>安杰莱科技（杭州）有限公司</t>
  </si>
  <si>
    <t>脑机接口系统与肩肘腕手、髋膝踝等系列神经康复机器人</t>
  </si>
  <si>
    <t>产品化和医院应用阶段</t>
  </si>
  <si>
    <t>已获早期融资，金额未充分披露</t>
  </si>
  <si>
    <t>中高：神经康复机器人产品矩阵完整，脑机闭环相关注册与收入需拆分</t>
  </si>
  <si>
    <t>杭州</t>
  </si>
  <si>
    <t>博灵医疗（杭州）科技有限公司</t>
  </si>
  <si>
    <t>脑卒中康复与脑机接口医疗产品</t>
  </si>
  <si>
    <t>产品研发及医疗注册推进</t>
  </si>
  <si>
    <t>创新医疗战略投资并控股</t>
  </si>
  <si>
    <t>中高：浙大团队与医院资源协同，需观察独立商业化能力</t>
  </si>
  <si>
    <t>创新医疗管理股份有限公司</t>
  </si>
  <si>
    <t>非侵入式/控股布局</t>
  </si>
  <si>
    <t>控股博灵医疗，布局家用穿戴式脑机接口上肢外骨骼和脑机康复系统</t>
  </si>
  <si>
    <t>博灵相关产品已上市销售/推进注册</t>
  </si>
  <si>
    <t>A股上市公司，持有博灵医疗约68%股权并持续增资</t>
  </si>
  <si>
    <t>中：通过控股标的快速切入，集团本体研发能力与并表收入需分别评估</t>
  </si>
  <si>
    <t>诸暨</t>
  </si>
  <si>
    <t>杭州程天科技发展有限公司</t>
  </si>
  <si>
    <t>非侵入式/外骨骼康复</t>
  </si>
  <si>
    <t>脑机接口下肢外骨骼康复系统和智能助行机器人</t>
  </si>
  <si>
    <t>外骨骼产品已进入康复场景；脑机接口版本入选国家创新任务</t>
  </si>
  <si>
    <t>已完成多轮融资，具体最新金额未充分公开</t>
  </si>
  <si>
    <t>中高：外骨骼产品化和渠道能力强，脑电意图识别闭环需临床验证</t>
  </si>
  <si>
    <t>杭州辉动科技有限公司</t>
  </si>
  <si>
    <t>非侵入式/康复</t>
  </si>
  <si>
    <t>无创脑机接口智能脑卒中康复系统</t>
  </si>
  <si>
    <t>场景验证/注册推进阶段</t>
  </si>
  <si>
    <t>2025年获战略投资，金额未披露</t>
  </si>
  <si>
    <t>中：康复适应证清晰，临床证据与注册节奏待验证</t>
  </si>
  <si>
    <t>杭州回车电子科技有限公司</t>
  </si>
  <si>
    <t>脑电采集硬件、脑控交互与教育/科研产品</t>
  </si>
  <si>
    <t>产品化与教育科研应用阶段</t>
  </si>
  <si>
    <t>已获早期融资，金额未完整披露</t>
  </si>
  <si>
    <t>中：产品落地较早，医疗级应用壁垒仍需建立</t>
  </si>
  <si>
    <t>杭州佳量医疗科技有限公司</t>
  </si>
  <si>
    <t>脑机接口、神经刺激与神经调控高端医疗器械</t>
  </si>
  <si>
    <t>多款产品处于注册与临床转化阶段</t>
  </si>
  <si>
    <t>2026年获战略投资；启明、中金、元璟等参与多轮融资</t>
  </si>
  <si>
    <t>高：医工团队、注册经验和神经调控产品线较强</t>
  </si>
  <si>
    <t>杭州科无涯生命科技有限公司</t>
  </si>
  <si>
    <t>在体多通道电生理、侵入式电极、刺激与数据分析平台</t>
  </si>
  <si>
    <t>科研工具产品化，2025年签约落地余杭</t>
  </si>
  <si>
    <t>中：电极—采集—分析生态适合脑机研发，临床产品和客户规模尚待核验</t>
  </si>
  <si>
    <t>https://www.sohu.com/a/1017268693_121277055
https://finance.sina.com.cn/jjxw/2025-12-11/doc-inhamhsi8155176.shtml</t>
  </si>
  <si>
    <t>杭州米福科技有限公司</t>
  </si>
  <si>
    <t>非侵入式/磁电刺激</t>
  </si>
  <si>
    <t>经颅磁电刺激系统及耳迷走神经刺激等神经调控产品</t>
  </si>
  <si>
    <t>中：神经调控产品线与脑机治疗端相关，闭环感知能力和临床数据需补充</t>
  </si>
  <si>
    <t>杭州暖芯迦电子科技有限公司</t>
  </si>
  <si>
    <t>侵入式/视觉脑机与传感</t>
  </si>
  <si>
    <t>神经接口、生物传感、视觉重建及医疗级生理参数采集模组</t>
  </si>
  <si>
    <t>关键器件产品化；视觉脑机处于动物验证/临床探索阶段</t>
  </si>
  <si>
    <t>中高：既有传感器量产基础并参与标准制定，视觉重建临床周期较长</t>
  </si>
  <si>
    <t>https://finance.sina.com.cn/wm/2026-03-10/doc-inhqpnue6083089.shtml</t>
  </si>
  <si>
    <t>杭州诺为医疗技术有限公司</t>
  </si>
  <si>
    <t>侵入式/闭环癫痫调控</t>
  </si>
  <si>
    <t>面向难治性癫痫的闭环神经调控系统</t>
  </si>
  <si>
    <t>入选2025年人工智能医疗器械创新任务，处于研发/注册阶段</t>
  </si>
  <si>
    <t>已被佳量医疗整合，独立融资情况未充分公开</t>
  </si>
  <si>
    <t>中高：闭环癫痫适应证和团队协同明确，需关注整合后的主体、临床与注册进度</t>
  </si>
  <si>
    <t>https://cn.genlight.com/aboutus
https://kcycrawlerfile.oss-cn-beijing.aliyuncs.com/2026/01/12/900eeb7687194399bf85a452ae3d180c.pdf</t>
  </si>
  <si>
    <t>杭州青石永隽医疗设备有限公司</t>
  </si>
  <si>
    <t>侵入式/闭环神经调控</t>
  </si>
  <si>
    <t>面向难治性抑郁症的AI闭环植入式神经调控系统</t>
  </si>
  <si>
    <t>一代产品完成开发，动物验证与科研型临床推进，进入型检阶段</t>
  </si>
  <si>
    <t>2025年博肽智投等战略入股；后续A轮信息未完整披露</t>
  </si>
  <si>
    <t>中高：适应证和闭环路线清晰，注册与长期疗效是核心里程碑</t>
  </si>
  <si>
    <t>https://www.biotests.com.cn/newsDetail.aspx?id=86</t>
  </si>
  <si>
    <t>杭州荣脑科技有限公司</t>
  </si>
  <si>
    <t>非侵入式/光电多模态</t>
  </si>
  <si>
    <t>EEG-fNIRS双模态采集、MRI兼容脑电及闭环神经调控技术</t>
  </si>
  <si>
    <t>已形成多款科研原型并与上市公司开展医疗产品转化</t>
  </si>
  <si>
    <t>中高：多模态采集技术稀缺，与麦澜德合作增强转化能力；独立注册与订单仍待观察</t>
  </si>
  <si>
    <t>https://www.zjcxy.org.cn/nd.jsp?fromColId=130&amp;id=1203</t>
  </si>
  <si>
    <t>杭州神踪科技有限公司</t>
  </si>
  <si>
    <t>非侵入式/神经调控</t>
  </si>
  <si>
    <t>脑电检测、神经调控与闭环诊疗平台</t>
  </si>
  <si>
    <t>研发与临床合作阶段</t>
  </si>
  <si>
    <t>中：团队与标准化参与度较高，公开产品/注册信息有限</t>
  </si>
  <si>
    <t>杭州数意科技有限公司</t>
  </si>
  <si>
    <t>脑电信号分析、脑状态评估与健康管理服务</t>
  </si>
  <si>
    <t>产品化/健康管理应用阶段</t>
  </si>
  <si>
    <t>2017年天使轮，贝壳社投资，金额未披露</t>
  </si>
  <si>
    <t>中：数据分析积累较早，医疗价值和持续融资能力需观察</t>
  </si>
  <si>
    <t>杭州星愿智能生物科技有限公司</t>
  </si>
  <si>
    <t>基于EEG/HRV的精神疾病辅助筛查与脑健康服务</t>
  </si>
  <si>
    <t>消费/健康服务阶段；医疗注册信息未充分公开</t>
  </si>
  <si>
    <t>2024年数百万元天使轮</t>
  </si>
  <si>
    <t>中：场景清晰但早期，算法泛化与合规是关键</t>
  </si>
  <si>
    <t>杭州虚之实科技有限公司</t>
  </si>
  <si>
    <t>非侵入式/BCI+XR数字疗法</t>
  </si>
  <si>
    <t>脑疾病精准诊疗平台、VR/DCBT/tDCS及多模态神经数据建模</t>
  </si>
  <si>
    <t>自研系统覆盖1000余家医院，拥有相关医疗器械注册基础</t>
  </si>
  <si>
    <t>2026年完成超5000万元A+轮；此前完成A轮等多轮融资</t>
  </si>
  <si>
    <t>中高：医院覆盖和数字疗法资质突出，BCI硬件与疗效证据需分产品核验</t>
  </si>
  <si>
    <t>邻近应用/数字疗法</t>
  </si>
  <si>
    <t>https://www.xuzhishi.com/cn/</t>
  </si>
  <si>
    <t>颅燊医疗器械（嘉兴）有限公司</t>
  </si>
  <si>
    <t>非侵入式/聚焦超声</t>
  </si>
  <si>
    <t>头戴式经颅聚焦超声神经调控、脑血流监测与个性化定位系统</t>
  </si>
  <si>
    <t>研发/临床前阶段，已开展首轮对外融资</t>
  </si>
  <si>
    <t>首轮融资开放，金额未披露</t>
  </si>
  <si>
    <t>中高：经颅超声方向具差异化，注册与长期安全性验证是主要风险</t>
  </si>
  <si>
    <t>嘉兴</t>
  </si>
  <si>
    <t>https://www.vbdata.cn/linkDetail/6441</t>
  </si>
  <si>
    <t>熵云脑机（杭州）科技有限公司</t>
  </si>
  <si>
    <t>脑电穿戴原型机、多模态AI与教育/医疗/养老应用</t>
  </si>
  <si>
    <t>原型和场景验证阶段</t>
  </si>
  <si>
    <t>母公司熵基科技投入，专项融资未披露</t>
  </si>
  <si>
    <t>中：母公司制造与渠道资源强，BCI产品仍处导入期</t>
  </si>
  <si>
    <t>https://news.21csp.com.cn/c13/202509/11427607.html</t>
  </si>
  <si>
    <t>意脑科技（温州）有限公司</t>
  </si>
  <si>
    <t>脑电采集与脑机交互产品</t>
  </si>
  <si>
    <t>观察：联盟成员身份明确，但产品、临床与融资披露不足</t>
  </si>
  <si>
    <t>温州</t>
  </si>
  <si>
    <t>https://www.gdec.net.cn/actives/newsdetail?id=493</t>
  </si>
  <si>
    <t>浙江博拓生物科技股份有限公司</t>
  </si>
  <si>
    <t>侵入式/战略投资</t>
  </si>
  <si>
    <t>战略参股青石永隽，布局难治性抑郁症AI闭环植入式神经调控系统</t>
  </si>
  <si>
    <t>被投项目处于临床试验/注册推进阶段</t>
  </si>
  <si>
    <t>科创板上市公司，战略入股青石永隽并持有约5%股权</t>
  </si>
  <si>
    <t>观察：主要是资本和产业协同，核心脑机技术不在上市公司本体</t>
  </si>
  <si>
    <t>浙江迈联医疗科技有限公司</t>
  </si>
  <si>
    <t>“迈联脑控”康复医疗脑机接口产品</t>
  </si>
  <si>
    <t>医院应用与注册推进阶段</t>
  </si>
  <si>
    <t>2023年A轮，中缔资本、金沙江联合资本参与</t>
  </si>
  <si>
    <t>中高：康复场景明确，需补充多中心临床与收入数据</t>
  </si>
  <si>
    <t>浙江脑次元科技有限公司</t>
  </si>
  <si>
    <t>非侵入式/情绪脑科学</t>
  </si>
  <si>
    <t>脑电AI解码、脑神经节律调控及情绪管理解决方案</t>
  </si>
  <si>
    <t>消费康养和场景运营阶段；医疗注册信息未充分公开</t>
  </si>
  <si>
    <t>观察：商业场景扩展快，但严肃医疗证据和核心算法透明度有限</t>
  </si>
  <si>
    <t>浙江诺尔康神经电子科技股份有限公司</t>
  </si>
  <si>
    <t>侵入式/神经假体</t>
  </si>
  <si>
    <t>多通道人工耳蜗、神经电子植入及视觉/听觉神经接口技术</t>
  </si>
  <si>
    <t>人工耳蜗已规模化商业；脑机接口拓展处于研发与合作阶段</t>
  </si>
  <si>
    <t>已完成多轮融资，具体最新轮次未充分披露</t>
  </si>
  <si>
    <t>中高：植入神经电子、注册和制造能力强，是感觉重建型脑机重要邻近企业</t>
  </si>
  <si>
    <t>邻近应用/神经假体</t>
  </si>
  <si>
    <t>https://www.sohu.com/a/1017268693_121277055
https://finance.sina.com.cn/wm/2026-03-10/doc-inhqpnue6083089.shtml</t>
  </si>
  <si>
    <t>浙江强脑科技有限公司（BrainCo）</t>
  </si>
  <si>
    <t>脑电头环、专注力训练、孤独症干预、睡眠与智能仿生肢体</t>
  </si>
  <si>
    <t>消费级产品规模化销售；部分康复/健康产品持续认证</t>
  </si>
  <si>
    <t>2026年完成约20亿元战略融资</t>
  </si>
  <si>
    <t>高：品牌、融资、量产与渠道优势显著；医疗证据和BCI/肌电边界需区分</t>
  </si>
  <si>
    <t>浙江柔灵科技有限公司</t>
  </si>
  <si>
    <t>柔性干电极EEG、脑电监测、睡眠与神经3D交互系统</t>
  </si>
  <si>
    <t>科研/医疗场景应用，持续推进注册</t>
  </si>
  <si>
    <t>中高：柔性电极与整机结合，标准化参与度高</t>
  </si>
  <si>
    <t>https://flectothink.com/
https://www.460.net.cn/news/show-359821.html</t>
  </si>
  <si>
    <t>浙江微脑科技有限公司</t>
  </si>
  <si>
    <t>脑电感知控制、脑控型智能硬件和可穿戴设备</t>
  </si>
  <si>
    <t>2020年获股权投资，金额未披露</t>
  </si>
  <si>
    <t>中：脑控硬件定位明确，商业规模与技术指标披露有限</t>
  </si>
  <si>
    <t>安徽科大讯飞医疗信息技术有限公司</t>
  </si>
  <si>
    <t>非侵入式/AI解码</t>
  </si>
  <si>
    <t>语音、认知与医疗AI结合的脑机交互研究与智能助听产品</t>
  </si>
  <si>
    <t>项目研发与示范应用阶段</t>
  </si>
  <si>
    <t>科大讯飞体系投入，专项融资未披露</t>
  </si>
  <si>
    <t>中：AI能力强，BCI硬件与临床产品相关度相对间接</t>
  </si>
  <si>
    <t>合肥</t>
  </si>
  <si>
    <t>https://wap.miit.gov.cn/cms_files/filemanager/1226211233/attach/20249/ef5f470ac75a4fd2834a056c4ae7239b.pdf</t>
  </si>
  <si>
    <t>合肥哈工艾斯德康智能科技有限公司</t>
  </si>
  <si>
    <t>孤独症筛查诊断、脑功能评估、BCI平台与数字疗法</t>
  </si>
  <si>
    <t>已获安徽省首张BCI医疗注册证，产品覆盖多省</t>
  </si>
  <si>
    <t>2025年Pre-A轮千万级；获地方天使基金持续投资</t>
  </si>
  <si>
    <t>中高：注册与商业化进度较好，数据泛化和支付路径需观察</t>
  </si>
  <si>
    <t>https://www.hfasdre.com/about.html</t>
  </si>
  <si>
    <t>合肥脑波脑机智能科技有限公司</t>
  </si>
  <si>
    <t>非侵入式/消费级</t>
  </si>
  <si>
    <t>AI可穿戴脑机接口与行业应用硬件</t>
  </si>
  <si>
    <t>2024年天使轮，金额未披露</t>
  </si>
  <si>
    <t>观察：处于早期，技术指标、场景和融资信息有限</t>
  </si>
  <si>
    <t>厦门光莆电子股份有限公司</t>
  </si>
  <si>
    <t>非侵入式光学传感</t>
  </si>
  <si>
    <t>三维多模态传感器及非嵌入式脑机接口感知研究</t>
  </si>
  <si>
    <t>原型/合作研发阶段</t>
  </si>
  <si>
    <t>观察：光学器件基础较好，脑机接口业务仍处早期探索</t>
  </si>
  <si>
    <t>厦门</t>
  </si>
  <si>
    <t>厦门盈趣科技股份有限公司</t>
  </si>
  <si>
    <t>脑电帽、群体脑科学采集设备、消费级脑机接口与智慧健康产品</t>
  </si>
  <si>
    <t>产品已量产并服务科研/消费场景，医学版本持续拓展</t>
  </si>
  <si>
    <t>A股上市公司持续投入并参股合作方</t>
  </si>
  <si>
    <t>中高：硬件量产和海外客户基础突出，医疗级闭环仍在发展</t>
  </si>
  <si>
    <t>https://fdi.swt.fujian.gov.cn/show-28108.html</t>
  </si>
  <si>
    <t>江西脑调控技术发展有限公司</t>
  </si>
  <si>
    <t>经颅磁刺激、脑电大数据分析及非侵入式脑机接口脑电生物反馈治疗仪</t>
  </si>
  <si>
    <t>既有经颅磁产品已商业化，新脑机产品推进研发生产</t>
  </si>
  <si>
    <t>中高：已有注册产品和采购记录，新增脑机项目具备转化基础</t>
  </si>
  <si>
    <t>南昌</t>
  </si>
  <si>
    <t>https://www.nc.gov.cn/ncszf/xqdt/202603/3368c0c4279a42d59770cb3d0b6e353a.shtml</t>
  </si>
  <si>
    <t>江西省精一医疗科技有限公司</t>
  </si>
  <si>
    <t>非侵入式/采集与深部刺激</t>
  </si>
  <si>
    <t>8通道脑电采集系统、时间干涉无创脑深部电刺激系统</t>
  </si>
  <si>
    <t>2026年项目落地，处于建设/研发与转化阶段</t>
  </si>
  <si>
    <t>中高：采集与深部刺激结合度高，企业和产品均处早期</t>
  </si>
  <si>
    <t>江西思维智光医疗科技有限公司</t>
  </si>
  <si>
    <t>非侵入式/光磁与脑磁</t>
  </si>
  <si>
    <t>多模态光磁神经调控系统、高精度脑磁图及脑功能精准检测设备</t>
  </si>
  <si>
    <t>2026年项目落地，处于研发与产业化建设阶段</t>
  </si>
  <si>
    <t>中高：脑磁与光磁调控方向稀缺，工程化、注册和客户验证尚早</t>
  </si>
  <si>
    <t>济南心语智能电子科技有限公司</t>
  </si>
  <si>
    <t>非侵入式/神经反馈</t>
  </si>
  <si>
    <t>VR-EEG-HRV神经反馈、认知训练、多模态身心评估及可穿戴脑电采集器</t>
  </si>
  <si>
    <t>多款产品已上市并在20余个省市应用</t>
  </si>
  <si>
    <t>中高：产品矩阵和区域应用较广，医疗注册与持续收入规模需核验</t>
  </si>
  <si>
    <t>济南</t>
  </si>
  <si>
    <t>山东海天智能工程有限公司</t>
  </si>
  <si>
    <t>脑机接口康复训练系统、脑控上下肢康复机器人</t>
  </si>
  <si>
    <t>产品已获医疗器械注册并产业化应用</t>
  </si>
  <si>
    <t>经营性发展；专项融资未充分公开</t>
  </si>
  <si>
    <t>高：国内早期获证脑控康复机器人，产品与临床积累较深</t>
  </si>
  <si>
    <t>泰安</t>
  </si>
  <si>
    <t>https://kjt.shandong.gov.cn/art/2022/7/26/art_13364_10298502.html</t>
  </si>
  <si>
    <t>山东新华医疗器械股份有限公司</t>
  </si>
  <si>
    <t>脑机接口康复/监测样机及医疗设备协同</t>
  </si>
  <si>
    <t>样机研发与试制阶段</t>
  </si>
  <si>
    <t>中：制造、渠道与注册能力强，但BCI产品仍处预研</t>
  </si>
  <si>
    <t>淄博</t>
  </si>
  <si>
    <t>山东亚华电子股份有限公司</t>
  </si>
  <si>
    <t>非侵入式/病房交互</t>
  </si>
  <si>
    <t>病房智能通讯系统与BCI初步融合</t>
  </si>
  <si>
    <t>概念验证/系统集成阶段</t>
  </si>
  <si>
    <t>上市公司自有资金投入</t>
  </si>
  <si>
    <t>观察：应用场景存在，但核心BCI技术与产品成熟度较低</t>
  </si>
  <si>
    <t>汉威科技集团股份有限公司</t>
  </si>
  <si>
    <t>柔性传感/电极</t>
  </si>
  <si>
    <t>柔性脑电传感器、电极与人机交互感知组件</t>
  </si>
  <si>
    <t>器件研发和量产导入阶段</t>
  </si>
  <si>
    <t>中高：柔性传感制造能力强，BCI专用产品与客户验证需披露</t>
  </si>
  <si>
    <t>郑州</t>
  </si>
  <si>
    <t>https://www.niiea.org.cn/upload/202601/06/202601061029129486.pdf</t>
  </si>
  <si>
    <t>河南翔宇医疗设备股份有限公司</t>
  </si>
  <si>
    <t>脑机接口神经康复整体解决方案、脑控康复机器人和脑电采集设备</t>
  </si>
  <si>
    <t>多款产品已获证/在医院应用，后续产品持续注册</t>
  </si>
  <si>
    <t>高：康复渠道、制造和注册能力领先，核心算法差异化需持续验证</t>
  </si>
  <si>
    <t>安阳</t>
  </si>
  <si>
    <t>https://www.xyyl.com/
https://pdf.dfcfw.com/pdf/H2_AN202604231821513670_1.pdf</t>
  </si>
  <si>
    <t>武汉百英诺生物科技有限公司</t>
  </si>
  <si>
    <t>低频聚焦超声智能无创脑机治疗系统</t>
  </si>
  <si>
    <t>原型/临床转化阶段</t>
  </si>
  <si>
    <t>中高：同济医院孵化、无创调控路线明确；注册与多中心临床仍需推进</t>
  </si>
  <si>
    <t>武汉</t>
  </si>
  <si>
    <t>https://news.cjn.cn/whpd/yw_19947/202512/t5247825.htm</t>
  </si>
  <si>
    <t>武汉格林泰克科技有限公司</t>
  </si>
  <si>
    <t>非侵入式电极</t>
  </si>
  <si>
    <t>干/湿头皮电极、降噪与脑电采集组件</t>
  </si>
  <si>
    <t>上游器件研发与供货阶段</t>
  </si>
  <si>
    <t>中高：上游电极工艺和本地产业链协同价值较高</t>
  </si>
  <si>
    <t>武汉沃亿生物科技有限公司</t>
  </si>
  <si>
    <t>脑机接口设备/生物电</t>
  </si>
  <si>
    <t>脑机接口与生物电设备研发制造（公开细节有限）</t>
  </si>
  <si>
    <t>观察：被地方政府列为设备制造企业，需补充产品与注册信息</t>
  </si>
  <si>
    <t>https://www.yiruide.com/news/404.html</t>
  </si>
  <si>
    <t>武汉依瑞德医疗设备新技术有限公司</t>
  </si>
  <si>
    <t>TMS、fNIRS、声光电磁多物理因子脑机与神经调控产品</t>
  </si>
  <si>
    <t>多类医疗器械已获证并服务数千家医疗机构</t>
  </si>
  <si>
    <t>经营性发展与产业融资并行，具体轮次未充分公开</t>
  </si>
  <si>
    <t>高：获证矩阵、医院覆盖和制造能力领先，属于无创临床转化头部</t>
  </si>
  <si>
    <t>https://www.wuhan.gov.cn/sy/whyw/202606/t20260622_2779529.shtml</t>
  </si>
  <si>
    <t>武汉智普天创科技有限公司</t>
  </si>
  <si>
    <t>便携脑电帽、无线脑电采集、认知评估与信号处理系统</t>
  </si>
  <si>
    <t>专利/样机与场景验证阶段</t>
  </si>
  <si>
    <t>中：专利布局较活跃，产品注册和商业化信息有限</t>
  </si>
  <si>
    <t>武汉衷华脑机融合科技发展有限公司</t>
  </si>
  <si>
    <t>侵入式/双向</t>
  </si>
  <si>
    <t>HIM60000高通量植入式系统、柔性电极、芯片、解码算法与刺激平台</t>
  </si>
  <si>
    <t>已完成4例短期临床，多条三类器械推进注册</t>
  </si>
  <si>
    <t>产业资本支持；具体轮次金额未完整公开</t>
  </si>
  <si>
    <t>高：通道数、双向刺激和国产全栈能力突出，注册兑现是核心观察点</t>
  </si>
  <si>
    <t>https://jxt.hubei.gov.cn/bmdt/rdjj/202505/t20250501_5638507.shtml</t>
  </si>
  <si>
    <t>可孚医疗科技股份有限公司</t>
  </si>
  <si>
    <t>侵入式/非侵入式投资布局</t>
  </si>
  <si>
    <t>投资脑机接口与神经刺激标的，协同家用康复辅具渠道</t>
  </si>
  <si>
    <t>被投产品处于研发/注册阶段</t>
  </si>
  <si>
    <t>战略投资常州瑞神安、苏州纽铃智等，金额未完整披露</t>
  </si>
  <si>
    <t>中：渠道与资本协同价值高，但自身核心BCI研发相关度较低</t>
  </si>
  <si>
    <t>长沙</t>
  </si>
  <si>
    <t>东莞市冠隆医疗科技有限公司</t>
  </si>
  <si>
    <t>非侵入式/脑电电极</t>
  </si>
  <si>
    <t>脑电电极、脑电帽、脑电采集系统及OEM/ODM服务</t>
  </si>
  <si>
    <t>产品已服务科研与临床客户，具备规模化定制能力</t>
  </si>
  <si>
    <t>中高：脑电电极品类和制造基础明确，是非侵入式脑机的重要上游</t>
  </si>
  <si>
    <t>东莞</t>
  </si>
  <si>
    <t>https://www.kwanlon.com/</t>
  </si>
  <si>
    <t>广州华南脑控智能科技有限公司</t>
  </si>
  <si>
    <t>脑控轮椅、智慧病房、脑机AI交互与康复方案</t>
  </si>
  <si>
    <t>产品化/场景应用阶段</t>
  </si>
  <si>
    <t>完成多轮融资，公开金额不完整</t>
  </si>
  <si>
    <t>中高：华南理工技术基础和场景落地较早，医疗注册与规模收入待核验</t>
  </si>
  <si>
    <t>广州</t>
  </si>
  <si>
    <t>广州迈普再生医学科技股份有限公司</t>
  </si>
  <si>
    <t>侵入式/神经外科耗材</t>
  </si>
  <si>
    <t>人工硬脑（脊）膜等神经外科植入材料，为海外脑机临床项目提供相关产品</t>
  </si>
  <si>
    <t>神经外科产品已商业化；脑机接口属于供应链关联</t>
  </si>
  <si>
    <t>科创板上市公司自有资金投入</t>
  </si>
  <si>
    <t>中：注册和神经外科材料能力成熟，但脑机接口专用收入相关度较低</t>
  </si>
  <si>
    <t>广州析芒医疗科技有限公司</t>
  </si>
  <si>
    <t>快速临床转化的植入式脑机接口系统</t>
  </si>
  <si>
    <t>已开展多物种动物试验与临床前研究</t>
  </si>
  <si>
    <t>2025年获广州国资与产业基金战略投资，金额未披露</t>
  </si>
  <si>
    <t>中高：临床导向明确，处于临床前关键验证期</t>
  </si>
  <si>
    <t>佳禾智能科技股份有限公司</t>
  </si>
  <si>
    <t>12通道脑电传感头戴设备与脑电通信系统</t>
  </si>
  <si>
    <t>样机/客户验证阶段</t>
  </si>
  <si>
    <t>中：消费电子量产能力强，脑电信号质量与应用闭环是关键</t>
  </si>
  <si>
    <t>诺尔医疗（深圳）有限公司</t>
  </si>
  <si>
    <t>侵入式/精准脑电</t>
  </si>
  <si>
    <t>MRI兼容SEEG颅内电极、癫痫AI辅助诊断和射频/激光消融产品</t>
  </si>
  <si>
    <t>SEEG颅内深部电极已获NMPA三类证，后续产品持续研发</t>
  </si>
  <si>
    <t>已完成A轮等多轮融资，累计金额未完整披露</t>
  </si>
  <si>
    <t>高：侵入式脑电、算法和临床场景结合紧密，具备从定位到治疗的闭环潜力</t>
  </si>
  <si>
    <t>深圳</t>
  </si>
  <si>
    <t>邻近应用/侵入电生理</t>
  </si>
  <si>
    <t>https://www.neurox.cn/</t>
  </si>
  <si>
    <t>熵基科技股份有限公司</t>
  </si>
  <si>
    <t>脑电穿戴原型、教育/医疗/养老多模态交互</t>
  </si>
  <si>
    <t>原型/场景验证阶段</t>
  </si>
  <si>
    <t>中：硬件制造与渠道优势明显，BCI核心算法和医疗价值待验证</t>
  </si>
  <si>
    <t>深圳德力凯医疗电子股份有限公司</t>
  </si>
  <si>
    <t>非侵入式/临床脑电监测</t>
  </si>
  <si>
    <t>经颅多普勒、脑电图机及颅脑疾病诊疗产品</t>
  </si>
  <si>
    <t>脑电图产品覆盖900余家医院，拥有多项医疗器械注册</t>
  </si>
  <si>
    <t>中高：临床脑电设备和渠道基础扎实，可作为脑机接口数据采集入口</t>
  </si>
  <si>
    <t>深圳瀚翔脑科学技术股份有限公司</t>
  </si>
  <si>
    <t>非侵入式/TMS-EEG</t>
  </si>
  <si>
    <t>脑科学科研工具、TMS-EEG和精神神经疾病精准诊疗整体方案</t>
  </si>
  <si>
    <t>科研与临床产品已商业化，具体注册清单需逐项核验</t>
  </si>
  <si>
    <t>中高：TMS-EEG闭环技术和科研客户基础较强，规模化医疗收入待披露</t>
  </si>
  <si>
    <t>邻近应用/脑科学平台</t>
  </si>
  <si>
    <t>深圳欢影医疗科技有限公司</t>
  </si>
  <si>
    <t>非植入式神经调控与脑机接口相关医疗器械研发</t>
  </si>
  <si>
    <t>研发/临床转化阶段，公开产品细节有限</t>
  </si>
  <si>
    <t>观察：已进入专业产业数据库，但产品、资质和团队信息仍需进一步核验</t>
  </si>
  <si>
    <t>https://data.yiyun.co/s?son_channel_id=456</t>
  </si>
  <si>
    <t>深圳鹏脑科技有限公司</t>
  </si>
  <si>
    <t>面向认知障碍、多动症和睡眠障碍的脑机接口+AI产品</t>
  </si>
  <si>
    <t>2025年数千万元天使轮，同创伟业投资</t>
  </si>
  <si>
    <t>中：场景丰富但早期，需要优先聚焦适应证与证据</t>
  </si>
  <si>
    <t>深圳锐盟半导体有限公司</t>
  </si>
  <si>
    <t>脑机接口芯片</t>
  </si>
  <si>
    <t>AI与人机交互处理器芯片，覆盖材料—器件—芯片—算法</t>
  </si>
  <si>
    <t>芯片研发与客户验证阶段</t>
  </si>
  <si>
    <t>2026年近亿元A轮，松禾资本领投</t>
  </si>
  <si>
    <t>中高：上游芯片稀缺，需验证BCI专用性能和量产客户</t>
  </si>
  <si>
    <t>深圳睿瀚医疗科技有限公司</t>
  </si>
  <si>
    <t>多模态诱导与反馈耦合的脑机接口康复机器人</t>
  </si>
  <si>
    <t>工信部揭榜项目/产品验证阶段</t>
  </si>
  <si>
    <t>中高：康复机器人产品路线清晰，临床和注册进度需更新</t>
  </si>
  <si>
    <t>深圳市回映电子科技有限公司</t>
  </si>
  <si>
    <t>非侵入式/脑脊接口CDMO</t>
  </si>
  <si>
    <t>3—256通道脑电采集、tES/tSCS/FES/tFUS等神经调控及脑机产品定制</t>
  </si>
  <si>
    <t>科研与消费级产品已交付，医疗级产品持续注册与定制</t>
  </si>
  <si>
    <t>中高：多模态采集、刺激和CDMO能力完整，核心自有品牌与医疗注册需持续核验</t>
  </si>
  <si>
    <t>https://www.huiying1.com/</t>
  </si>
  <si>
    <t>深圳市美好创亿医疗科技股份有限公司</t>
  </si>
  <si>
    <t>侵入式/精密制造</t>
  </si>
  <si>
    <t>人工耳蜗关键组件、介入微型传感器、有源导管及脑机接口精密制造能力</t>
  </si>
  <si>
    <t>核心组件已量产；直接脑机接口产品处于能力拓展阶段</t>
  </si>
  <si>
    <t>创业板上市公司自有资金投入</t>
  </si>
  <si>
    <t>中：CDMO和微型精密制造能力强，脑机接口专用客户与订单尚未充分披露</t>
  </si>
  <si>
    <t>https://pdf.dfcfw.com/pdf/H3_AP202601061816142041_1.pdf?1767725152000.pdf=
https://www.sohu.com/a/1017268693_121277055</t>
  </si>
  <si>
    <t>深圳市应和脑科学有限公司</t>
  </si>
  <si>
    <t>新一代神经调控与脑机接口高端医疗器械</t>
  </si>
  <si>
    <t>天使轮超亿元；2026年A轮，金额未披露</t>
  </si>
  <si>
    <t>中高：资本和临床团队较强，产品注册节点待公开</t>
  </si>
  <si>
    <t>深圳市中科先见医疗科技有限公司</t>
  </si>
  <si>
    <t>侵入式/视觉神经假体</t>
  </si>
  <si>
    <t>人造视网膜、皮层视觉重建、高密度神经假体与MEMS柔性加工平台</t>
  </si>
  <si>
    <t>工程样机与临床前转化阶段</t>
  </si>
  <si>
    <t>累计获得政府及科研投入近亿元；市场化融资未充分公开</t>
  </si>
  <si>
    <t>中高：神经假体与微纳制造平台稀缺，临床周期长、适应证风险高</t>
  </si>
  <si>
    <t>核心企业/神经假体</t>
  </si>
  <si>
    <t>https://cas-envision.com/</t>
  </si>
  <si>
    <t>深圳微灵医疗科技有限公司</t>
  </si>
  <si>
    <t>高密度薄膜电极、医疗级全植入式无线脑机接口定制平台</t>
  </si>
  <si>
    <t>已开展术中临床研究，长期植入系统计划进入临床试验</t>
  </si>
  <si>
    <t>完成天使、天使+与Pre-A轮，蓝驰、高榕等参与</t>
  </si>
  <si>
    <t>高：薄膜电极和临床协作领先，长期植入安全与注册是关键</t>
  </si>
  <si>
    <t>https://fgw.sz.gov.cn/ztzl/qtztzl/szscjmyjjfzzhfwpt/xwdt/cyfz/content/post_12623378.html
https://www.460.net.cn/news/show-359821.html</t>
  </si>
  <si>
    <t>深圳未来脑律科技有限公司</t>
  </si>
  <si>
    <t>脑功能成像与脑疾病精准闭环神经调控产品</t>
  </si>
  <si>
    <t>2026年Pre-A轮；此前天使轮数千万元</t>
  </si>
  <si>
    <t>中高：闭环调控和脑疾病适应证清晰，注册与临床证据待验证</t>
  </si>
  <si>
    <t>https://www.innohere.com/ir/118872/finance.html</t>
  </si>
  <si>
    <t>深圳中科华意科技有限公司</t>
  </si>
  <si>
    <t>非侵入式闭环调控</t>
  </si>
  <si>
    <t>BCI-tES闭环解决方案、便携式经颅电刺激训练仪</t>
  </si>
  <si>
    <t>2024年数千万元Pre-A+轮</t>
  </si>
  <si>
    <t>中高：中科院孵化、闭环系统完整，商业化仍在扩展</t>
  </si>
  <si>
    <t>神芯科技（海南）有限公司</t>
  </si>
  <si>
    <t>脑机接口核心芯片、神经信号采集/刺激与闭环器件</t>
  </si>
  <si>
    <t>研发/客户验证阶段</t>
  </si>
  <si>
    <t>2025年千万级天使轮；2026年再获数千万元融资</t>
  </si>
  <si>
    <t>中高：海南大学团队与专用芯片方向稀缺，量产与客户验证是关键</t>
  </si>
  <si>
    <t>海口</t>
  </si>
  <si>
    <t>https://www.sensingx.com/
https://www.460.net.cn/news/show-359821.html</t>
  </si>
  <si>
    <t>重庆脑际医疗科技有限公司</t>
  </si>
  <si>
    <t>高导联脑电、柔性电极、癫痫植入调控与无创神经调控设备</t>
  </si>
  <si>
    <t>脑电产品商业化；植入式方向处于临床转化阶段</t>
  </si>
  <si>
    <t>中高：覆盖采集—分析—调控全链条，需核验植入产品注册节点</t>
  </si>
  <si>
    <t>重庆</t>
  </si>
  <si>
    <t>https://www.brainspace.com.cn/</t>
  </si>
  <si>
    <t>重庆云脑医疗科技有限公司</t>
  </si>
  <si>
    <t>脑电诱发康复训练、手功能与下肢外骨骼脑机系统</t>
  </si>
  <si>
    <t>脑机接口康复训练系统已获二类医疗器械注册证并规模化应用</t>
  </si>
  <si>
    <t>高：注册证、医院应用与患者规模形成先发优势</t>
  </si>
  <si>
    <t>https://jkq.cq.gov.cn/zwxx/jkdt/202508/t20250825_14933166_wap.html
https://yunnaomedical.com/</t>
  </si>
  <si>
    <t>成都市前沿类脑人工智能创新中心有限公司</t>
  </si>
  <si>
    <t>非侵入式/成果转化平台</t>
  </si>
  <si>
    <t>脑功能评估、孤独症辅助诊断与脑机接口成果转化平台</t>
  </si>
  <si>
    <t>产品研发与场景应用阶段</t>
  </si>
  <si>
    <t>中高：电子科大科研资源和项目承接能力突出，市场化产品需单独核验</t>
  </si>
  <si>
    <t>成都</t>
  </si>
  <si>
    <t>https://www.kczg.org.cn/org/orgdetail?id=349461</t>
  </si>
  <si>
    <t>成都瓦博科技有限公司</t>
  </si>
  <si>
    <t>消费级脑机接口硬件，强调算法压缩与低成本算力路线</t>
  </si>
  <si>
    <t>研发/产品定义阶段</t>
  </si>
  <si>
    <t>2026年种子轮，策源资本投资，金额未披露</t>
  </si>
  <si>
    <t>观察：团队与融资较新，产品、量产和用户验证尚早</t>
  </si>
  <si>
    <t>成都芯脑科技有限公司</t>
  </si>
  <si>
    <t>孤独症脑网络标志物、筛查评估与脑机辅助干预平台</t>
  </si>
  <si>
    <t>产品已服务多地患者并开展场景应用，注册信息需持续核验</t>
  </si>
  <si>
    <t>产业化运营中，具体融资未充分公开</t>
  </si>
  <si>
    <t>中高：数据与真实场景积累突出，疗效口径需以注册临床证据复核</t>
  </si>
  <si>
    <t>https://district.ce.cn/newarea/roll/202607/t20260721_3098650.shtml</t>
  </si>
  <si>
    <t>格式塔（成都）科技有限公司（Gestala）</t>
  </si>
  <si>
    <t>全脑超声读写平台，首款产品聚焦慢性疼痛管理</t>
  </si>
  <si>
    <t>临床前/产品研发；计划启动国家药监局注册流程</t>
  </si>
  <si>
    <t>2026年完成1.5亿元天使轮及4.2亿元天使+轮，半年累计5.7亿元</t>
  </si>
  <si>
    <t>高：超声路线稀缺、资本和团队突出；技术验证与安全性仍是高风险节点</t>
  </si>
  <si>
    <t>https://sichuan.scol.com.cn/ggxw/202606/83277803.html</t>
  </si>
  <si>
    <t>四川必可明科技有限公司</t>
  </si>
  <si>
    <t>非侵入式光学脑机接口</t>
  </si>
  <si>
    <t>便携式脑功能定量成像、认知评估与训练软件</t>
  </si>
  <si>
    <t>产品展示与场景验证阶段</t>
  </si>
  <si>
    <t>中：光学路线差异化明显，医疗注册与临床证据待补充</t>
  </si>
  <si>
    <t>https://bcomingtech.com/</t>
  </si>
  <si>
    <t>四川君健万峰医疗器械有限责任公司</t>
  </si>
  <si>
    <t>神经调控/脑机接口</t>
  </si>
  <si>
    <t>高端神经调控与脑机接口医疗设备</t>
  </si>
  <si>
    <t>研发/注册筹备阶段</t>
  </si>
  <si>
    <t>观察：产业协同意愿明确，需核验具体产品和注册节点</t>
  </si>
  <si>
    <t>https://www.jjwf-med.com/nd.jsp?id=18</t>
  </si>
  <si>
    <t>四川脑佳科技有限公司</t>
  </si>
  <si>
    <t>AI脑机接口</t>
  </si>
  <si>
    <t>AI脑信号解析与脑机接口应用产品</t>
  </si>
  <si>
    <t>研发/成果转化阶段</t>
  </si>
  <si>
    <t>观察：院士成果转化背景，公开产品与商业数据有限</t>
  </si>
  <si>
    <t>https://www.nbd.com.cn/articles/2026-04-28/4367652.html</t>
  </si>
  <si>
    <t>四川省博瑞恩科技有限公司</t>
  </si>
  <si>
    <t>非侵入式/科研平台</t>
  </si>
  <si>
    <t>脑机接口、脑器交互、群脑超扫描和睡眠调控科研设备</t>
  </si>
  <si>
    <t>科研设备与技术服务已商业化</t>
  </si>
  <si>
    <t>中：本地科研服务和集成能力突出，医疗级壁垒相对有限</t>
  </si>
  <si>
    <t>https://www.boruienbrain.com/</t>
  </si>
  <si>
    <t>四川新源生物电子科技有限公司</t>
  </si>
  <si>
    <t>脑电/生物信号采集、脑科学研究设备与临床辅助诊断工具</t>
  </si>
  <si>
    <t>科研产品商业化；医疗产品持续注册和临床合作</t>
  </si>
  <si>
    <t>2020年3000万元天使轮；2024年数千万元Pre-A轮</t>
  </si>
  <si>
    <t>中高：产品与融资基础较扎实，华西临床合作有利于转化</t>
  </si>
  <si>
    <t>https://www.neurogin.com/about-us.html</t>
  </si>
  <si>
    <t>中科睿控（成都）科技有限公司</t>
  </si>
  <si>
    <t>可穿戴脑机接口设备与智能硬件</t>
  </si>
  <si>
    <t>2026年获超千万元战略投资</t>
  </si>
  <si>
    <t>中：中科院成果转化，落地速度快；核心技术和收入规模待核验</t>
  </si>
  <si>
    <t>中科院成都信息技术股份有限公司（中科信息）</t>
  </si>
  <si>
    <t>非侵入式/闭环系统</t>
  </si>
  <si>
    <t>基于光遗传调控的闭环脑机接口、智慧麻醉和智慧康复</t>
  </si>
  <si>
    <t>科研项目与样机研发阶段</t>
  </si>
  <si>
    <t>中：AI和系统集成能力强，脑机接口业务尚未形成规模化收入</t>
  </si>
  <si>
    <t>贵州数脑科技有限公司</t>
  </si>
  <si>
    <t>非侵入式/康复运营</t>
  </si>
  <si>
    <t>脑机接口康复训练系统、云平台和医院—社区—家庭康复网络</t>
  </si>
  <si>
    <t>2026年成立并承载贵州首个脑机接口产业化项目</t>
  </si>
  <si>
    <t>观察：区域首发和场景落地价值明确，核心设备来源与自研能力需持续核验</t>
  </si>
  <si>
    <t>贵阳</t>
  </si>
  <si>
    <t>https://szb.eyesnews.cn/pc/cont/202607/13/content_184156.html</t>
  </si>
  <si>
    <t>脑次元（昆明）智能科技有限公司</t>
  </si>
  <si>
    <t>非侵入式/脑健康运营</t>
  </si>
  <si>
    <t>脑电AI解码、脑神经节律调控及康养服务</t>
  </si>
  <si>
    <t>2026年成立，处于区域运营和场景导入阶段</t>
  </si>
  <si>
    <t>观察：依托浙江总部技术进入西南，需区分直营网点能力与独立技术资产</t>
  </si>
  <si>
    <t>昆明</t>
  </si>
  <si>
    <t>https://www.sohu.com/a/1033080445_122759515</t>
  </si>
  <si>
    <t>西安穹顶医疗科技有限公司</t>
  </si>
  <si>
    <t>非侵入式深脑调控</t>
  </si>
  <si>
    <t>治疗型脑机接口与无创深脑调控产品矩阵</t>
  </si>
  <si>
    <t>临床/注册推进阶段</t>
  </si>
  <si>
    <t>2026年完成近亿元A+轮</t>
  </si>
  <si>
    <t>中高：治疗型定位与西交大团队突出，临床数据和获证节奏关键</t>
  </si>
  <si>
    <t>西安</t>
  </si>
  <si>
    <t>https://www.cnfin.com/sl-lb/detail/20260509/4411387_1.html</t>
  </si>
  <si>
    <t>西安臻泰智能科技有限公司</t>
  </si>
  <si>
    <t>脑机接口智能康复机器人及整体解决方案</t>
  </si>
  <si>
    <t>产品已在多家医院应用，推进三类器械申报</t>
  </si>
  <si>
    <t>天使轮和A轮；联想创投、胡杨林资本、奇绩创坛等参与</t>
  </si>
  <si>
    <t>中高：康复落地较早，需持续核验获证与规模收入</t>
  </si>
  <si>
    <t>上海全澜科技有限公司</t>
  </si>
  <si>
    <r>
      <t>‌</t>
    </r>
    <r>
      <rPr>
        <sz val="11"/>
        <rFont val="宋体"/>
        <charset val="134"/>
      </rPr>
      <t>非侵入性神经调控</t>
    </r>
  </si>
  <si>
    <t>脑机接口输入采集设备供应商（集成芯片及系统，不含电极）</t>
  </si>
  <si>
    <t>天使轮和pre-A轮：中科创星、华大松禾天使基金</t>
  </si>
  <si>
    <t>中高：全澜科技依托较强的脑科学团队和“脑电检测—个体靶点—闭环刺激”差异化技术具备一定先发优势，但核心治疗产品尚未获证、临床与商业化验证不足，现阶段竞争力中等偏强。</t>
  </si>
  <si>
    <t>https://www.eegion.com/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</si>
</sst>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28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rgb="FF1F2937"/>
      <name val="Carlito"/>
      <charset val="134"/>
    </font>
    <font>
      <sz val="12"/>
      <color rgb="FF333333"/>
      <name val="Arial"/>
      <charset val="134"/>
    </font>
    <font>
      <sz val="11"/>
      <name val="宋体"/>
      <charset val="134"/>
    </font>
    <font>
      <u/>
      <sz val="11"/>
      <color rgb="FF0000FF"/>
      <name val="Calibri"/>
      <charset val="0"/>
      <scheme val="minor"/>
    </font>
    <font>
      <sz val="11"/>
      <color rgb="FF9C6500"/>
      <name val="Carlito"/>
      <charset val="134"/>
    </font>
    <font>
      <b/>
      <sz val="11"/>
      <color rgb="FF17365D"/>
      <name val="Carlito"/>
      <charset val="134"/>
    </font>
    <font>
      <i/>
      <sz val="11"/>
      <color rgb="FF5B6573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B8C6D1"/>
      </left>
      <right style="thin">
        <color rgb="FFB8C6D1"/>
      </right>
      <top style="thin">
        <color rgb="FFB8C6D1"/>
      </top>
      <bottom style="thin">
        <color rgb="FFB8C6D1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B8C6D1"/>
      </bottom>
      <diagonal/>
    </border>
    <border>
      <left/>
      <right/>
      <top/>
      <bottom style="thin">
        <color rgb="FFB8C6D1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5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8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0" fillId="0" borderId="0"/>
  </cellStyleXfs>
  <cellXfs count="28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1" fontId="2" fillId="0" borderId="2" xfId="49" applyNumberFormat="1" applyFont="1" applyFill="1" applyBorder="1" applyAlignment="1">
      <alignment horizontal="center" vertical="center" wrapText="1"/>
    </xf>
    <xf numFmtId="0" fontId="2" fillId="0" borderId="2" xfId="49" applyNumberFormat="1" applyFont="1" applyFill="1" applyBorder="1" applyAlignment="1">
      <alignment vertical="top" wrapText="1"/>
    </xf>
    <xf numFmtId="176" fontId="2" fillId="0" borderId="2" xfId="49" applyNumberFormat="1" applyFont="1" applyFill="1" applyBorder="1" applyAlignment="1">
      <alignment vertical="top" wrapText="1"/>
    </xf>
    <xf numFmtId="1" fontId="2" fillId="0" borderId="3" xfId="49" applyNumberFormat="1" applyFont="1" applyFill="1" applyBorder="1" applyAlignment="1">
      <alignment horizontal="center" vertical="center" wrapText="1"/>
    </xf>
    <xf numFmtId="0" fontId="2" fillId="0" borderId="3" xfId="49" applyNumberFormat="1" applyFont="1" applyFill="1" applyBorder="1" applyAlignment="1">
      <alignment vertical="top" wrapText="1"/>
    </xf>
    <xf numFmtId="176" fontId="2" fillId="0" borderId="3" xfId="49" applyNumberFormat="1" applyFont="1" applyFill="1" applyBorder="1" applyAlignment="1">
      <alignment vertical="top" wrapText="1"/>
    </xf>
    <xf numFmtId="1" fontId="2" fillId="0" borderId="4" xfId="49" applyNumberFormat="1" applyFont="1" applyFill="1" applyBorder="1" applyAlignment="1">
      <alignment horizontal="center" vertical="center" wrapText="1"/>
    </xf>
    <xf numFmtId="0" fontId="2" fillId="0" borderId="4" xfId="49" applyNumberFormat="1" applyFont="1" applyFill="1" applyBorder="1" applyAlignment="1">
      <alignment vertical="top" wrapText="1"/>
    </xf>
    <xf numFmtId="176" fontId="2" fillId="0" borderId="4" xfId="49" applyNumberFormat="1" applyFont="1" applyFill="1" applyBorder="1" applyAlignment="1">
      <alignment vertical="top" wrapText="1"/>
    </xf>
    <xf numFmtId="1" fontId="2" fillId="0" borderId="5" xfId="49" applyNumberFormat="1" applyFont="1" applyFill="1" applyBorder="1" applyAlignment="1">
      <alignment horizontal="center" vertical="center" wrapText="1"/>
    </xf>
    <xf numFmtId="0" fontId="2" fillId="0" borderId="5" xfId="49" applyNumberFormat="1" applyFont="1" applyFill="1" applyBorder="1" applyAlignment="1">
      <alignment vertical="top" wrapText="1"/>
    </xf>
    <xf numFmtId="176" fontId="2" fillId="0" borderId="5" xfId="49" applyNumberFormat="1" applyFont="1" applyFill="1" applyBorder="1" applyAlignment="1">
      <alignment vertical="top" wrapText="1"/>
    </xf>
    <xf numFmtId="0" fontId="3" fillId="0" borderId="0" xfId="0" applyFont="1">
      <alignment vertical="center"/>
    </xf>
    <xf numFmtId="0" fontId="0" fillId="0" borderId="0" xfId="49" applyFont="1"/>
    <xf numFmtId="0" fontId="4" fillId="0" borderId="0" xfId="49" applyFont="1" applyAlignment="1">
      <alignment wrapText="1"/>
    </xf>
    <xf numFmtId="0" fontId="4" fillId="0" borderId="0" xfId="49" applyFont="1"/>
    <xf numFmtId="0" fontId="5" fillId="0" borderId="0" xfId="6"/>
    <xf numFmtId="14" fontId="0" fillId="0" borderId="0" xfId="49" applyNumberFormat="1"/>
    <xf numFmtId="0" fontId="2" fillId="0" borderId="6" xfId="49" applyNumberFormat="1" applyFont="1" applyFill="1" applyBorder="1" applyAlignment="1">
      <alignment vertical="center" wrapText="1"/>
    </xf>
    <xf numFmtId="1" fontId="2" fillId="0" borderId="6" xfId="49" applyNumberFormat="1" applyFont="1" applyFill="1" applyBorder="1" applyAlignment="1">
      <alignment horizontal="center" vertical="center" wrapText="1"/>
    </xf>
    <xf numFmtId="0" fontId="6" fillId="0" borderId="6" xfId="49" applyNumberFormat="1" applyFont="1" applyFill="1" applyBorder="1" applyAlignment="1">
      <alignment vertical="center" wrapText="1"/>
    </xf>
    <xf numFmtId="0" fontId="1" fillId="2" borderId="0" xfId="49" applyNumberFormat="1" applyFont="1" applyFill="1" applyBorder="1" applyAlignment="1">
      <alignment horizontal="left" vertical="center"/>
    </xf>
    <xf numFmtId="0" fontId="7" fillId="3" borderId="1" xfId="49" applyNumberFormat="1" applyFont="1" applyFill="1" applyBorder="1" applyAlignment="1">
      <alignment vertical="top" wrapText="1"/>
    </xf>
    <xf numFmtId="176" fontId="2" fillId="0" borderId="1" xfId="49" applyNumberFormat="1" applyFont="1" applyFill="1" applyBorder="1" applyAlignment="1">
      <alignment vertical="top" wrapText="1"/>
    </xf>
    <xf numFmtId="0" fontId="2" fillId="0" borderId="1" xfId="49" applyNumberFormat="1" applyFont="1" applyFill="1" applyBorder="1" applyAlignment="1">
      <alignment vertical="top" wrapText="1"/>
    </xf>
    <xf numFmtId="0" fontId="8" fillId="4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color rgb="FF9C6500"/>
      </font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ompanyNationalTable" displayName="CompanyNationalTable" ref="A1:L174" totalsRowShown="0">
  <autoFilter xmlns:etc="http://www.wps.cn/officeDocument/2017/etCustomData" ref="A1:L174" etc:filterBottomFollowUsedRange="0"/>
  <tableColumns count="12">
    <tableColumn id="1" name="序号"/>
    <tableColumn id="2" name="公司名称"/>
    <tableColumn id="3" name="技术路径"/>
    <tableColumn id="4" name="产品介绍"/>
    <tableColumn id="5" name="产品临床阶段"/>
    <tableColumn id="6" name="融资情况"/>
    <tableColumn id="7" name="竞争力判断"/>
    <tableColumn id="8" name="所属省份"/>
    <tableColumn id="9" name="总部城市"/>
    <tableColumn id="10" name="相关度/类型"/>
    <tableColumn id="11" name="公开来源"/>
    <tableColumn id="12" name="核验日期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mpanyProvinceTable1" displayName="CompanyProvinceTable1" ref="A1:L21" totalsRowShown="0">
  <autoFilter xmlns:etc="http://www.wps.cn/officeDocument/2017/etCustomData" ref="A1:L21" etc:filterBottomFollowUsedRange="0"/>
  <tableColumns count="12">
    <tableColumn id="1" name="序号"/>
    <tableColumn id="2" name="公司名称"/>
    <tableColumn id="3" name="技术路径"/>
    <tableColumn id="4" name="产品介绍"/>
    <tableColumn id="5" name="产品临床阶段"/>
    <tableColumn id="6" name="融资情况"/>
    <tableColumn id="7" name="竞争力判断"/>
    <tableColumn id="8" name="所属省份"/>
    <tableColumn id="9" name="总部城市"/>
    <tableColumn id="10" name="相关度/类型"/>
    <tableColumn id="11" name="公开来源"/>
    <tableColumn id="12" name="核验日期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mpanyProvinceTable2" displayName="CompanyProvinceTable2" ref="A1:L8" totalsRowShown="0">
  <autoFilter xmlns:etc="http://www.wps.cn/officeDocument/2017/etCustomData" ref="A1:L8" etc:filterBottomFollowUsedRange="0"/>
  <tableColumns count="12">
    <tableColumn id="1" name="序号"/>
    <tableColumn id="2" name="公司名称"/>
    <tableColumn id="3" name="技术路径"/>
    <tableColumn id="4" name="产品介绍"/>
    <tableColumn id="5" name="产品临床阶段"/>
    <tableColumn id="6" name="融资情况"/>
    <tableColumn id="7" name="竞争力判断"/>
    <tableColumn id="8" name="所属省份"/>
    <tableColumn id="9" name="总部城市"/>
    <tableColumn id="10" name="相关度/类型"/>
    <tableColumn id="11" name="公开来源"/>
    <tableColumn id="12" name="核验日期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mpanyProvinceTable3" displayName="CompanyProvinceTable3" ref="A1:L2" totalsRowShown="0">
  <autoFilter xmlns:etc="http://www.wps.cn/officeDocument/2017/etCustomData" ref="A1:L2" etc:filterBottomFollowUsedRange="0"/>
  <tableColumns count="12">
    <tableColumn id="1" name="序号"/>
    <tableColumn id="2" name="公司名称"/>
    <tableColumn id="3" name="技术路径"/>
    <tableColumn id="4" name="产品介绍"/>
    <tableColumn id="5" name="产品临床阶段"/>
    <tableColumn id="6" name="融资情况"/>
    <tableColumn id="7" name="竞争力判断"/>
    <tableColumn id="8" name="所属省份"/>
    <tableColumn id="9" name="总部城市"/>
    <tableColumn id="10" name="相关度/类型"/>
    <tableColumn id="11" name="公开来源"/>
    <tableColumn id="12" name="核验日期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mpanyProvinceTable4" displayName="CompanyProvinceTable4" ref="A1:L2" totalsRowShown="0">
  <autoFilter xmlns:etc="http://www.wps.cn/officeDocument/2017/etCustomData" ref="A1:L2" etc:filterBottomFollowUsedRange="0"/>
  <tableColumns count="12">
    <tableColumn id="1" name="序号"/>
    <tableColumn id="2" name="公司名称"/>
    <tableColumn id="3" name="技术路径"/>
    <tableColumn id="4" name="产品介绍"/>
    <tableColumn id="5" name="产品临床阶段"/>
    <tableColumn id="6" name="融资情况"/>
    <tableColumn id="7" name="竞争力判断"/>
    <tableColumn id="8" name="所属省份"/>
    <tableColumn id="9" name="总部城市"/>
    <tableColumn id="10" name="相关度/类型"/>
    <tableColumn id="11" name="公开来源"/>
    <tableColumn id="12" name="核验日期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ompanyProvinceTable5" displayName="CompanyProvinceTable5" ref="A1:L27" totalsRowShown="0">
  <autoFilter xmlns:etc="http://www.wps.cn/officeDocument/2017/etCustomData" ref="A1:L27" etc:filterBottomFollowUsedRange="0"/>
  <tableColumns count="12">
    <tableColumn id="1" name="序号"/>
    <tableColumn id="2" name="公司名称"/>
    <tableColumn id="3" name="技术路径"/>
    <tableColumn id="4" name="产品介绍"/>
    <tableColumn id="5" name="产品临床阶段"/>
    <tableColumn id="6" name="融资情况"/>
    <tableColumn id="7" name="竞争力判断"/>
    <tableColumn id="8" name="所属省份"/>
    <tableColumn id="9" name="总部城市"/>
    <tableColumn id="10" name="相关度/类型"/>
    <tableColumn id="11" name="公开来源"/>
    <tableColumn id="12" name="核验日期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ompanyProvinceTable6" displayName="CompanyProvinceTable6" ref="A1:L33" totalsRowShown="0">
  <autoFilter xmlns:etc="http://www.wps.cn/officeDocument/2017/etCustomData" ref="A1:L33" etc:filterBottomFollowUsedRange="0"/>
  <tableColumns count="12">
    <tableColumn id="1" name="序号"/>
    <tableColumn id="2" name="公司名称"/>
    <tableColumn id="3" name="技术路径"/>
    <tableColumn id="4" name="产品介绍"/>
    <tableColumn id="5" name="产品临床阶段"/>
    <tableColumn id="6" name="融资情况"/>
    <tableColumn id="7" name="竞争力判断"/>
    <tableColumn id="8" name="所属省份"/>
    <tableColumn id="9" name="总部城市"/>
    <tableColumn id="10" name="相关度/类型"/>
    <tableColumn id="11" name="公开来源"/>
    <tableColumn id="12" name="核验日期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mpanyProvinceTable7" displayName="CompanyProvinceTable7" ref="A1:L28" totalsRowShown="0">
  <autoFilter xmlns:etc="http://www.wps.cn/officeDocument/2017/etCustomData" ref="A1:L28" etc:filterBottomFollowUsedRange="0"/>
  <tableColumns count="12">
    <tableColumn id="1" name="序号"/>
    <tableColumn id="2" name="公司名称"/>
    <tableColumn id="3" name="技术路径"/>
    <tableColumn id="4" name="产品介绍"/>
    <tableColumn id="5" name="产品临床阶段"/>
    <tableColumn id="6" name="融资情况"/>
    <tableColumn id="7" name="竞争力判断"/>
    <tableColumn id="8" name="所属省份"/>
    <tableColumn id="9" name="总部城市"/>
    <tableColumn id="10" name="相关度/类型"/>
    <tableColumn id="11" name="公开来源"/>
    <tableColumn id="12" name="核验日期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CompanyProvinceTable8" displayName="CompanyProvinceTable8" ref="A1:L4" totalsRowShown="0">
  <autoFilter xmlns:etc="http://www.wps.cn/officeDocument/2017/etCustomData" ref="A1:L4" etc:filterBottomFollowUsedRange="0"/>
  <tableColumns count="12">
    <tableColumn id="1" name="序号"/>
    <tableColumn id="2" name="公司名称"/>
    <tableColumn id="3" name="技术路径"/>
    <tableColumn id="4" name="产品介绍"/>
    <tableColumn id="5" name="产品临床阶段"/>
    <tableColumn id="6" name="融资情况"/>
    <tableColumn id="7" name="竞争力判断"/>
    <tableColumn id="8" name="所属省份"/>
    <tableColumn id="9" name="总部城市"/>
    <tableColumn id="10" name="相关度/类型"/>
    <tableColumn id="11" name="公开来源"/>
    <tableColumn id="12" name="核验日期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ompanyProvinceTable9" displayName="CompanyProvinceTable9" ref="A1:L3" totalsRowShown="0">
  <autoFilter xmlns:etc="http://www.wps.cn/officeDocument/2017/etCustomData" ref="A1:L3" etc:filterBottomFollowUsedRange="0"/>
  <tableColumns count="12">
    <tableColumn id="1" name="序号"/>
    <tableColumn id="2" name="公司名称"/>
    <tableColumn id="3" name="技术路径"/>
    <tableColumn id="4" name="产品介绍"/>
    <tableColumn id="5" name="产品临床阶段"/>
    <tableColumn id="6" name="融资情况"/>
    <tableColumn id="7" name="竞争力判断"/>
    <tableColumn id="8" name="所属省份"/>
    <tableColumn id="9" name="总部城市"/>
    <tableColumn id="10" name="相关度/类型"/>
    <tableColumn id="11" name="公开来源"/>
    <tableColumn id="12" name="核验日期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CompanyProvinceTable10" displayName="CompanyProvinceTable10" ref="A1:L4" totalsRowShown="0">
  <autoFilter xmlns:etc="http://www.wps.cn/officeDocument/2017/etCustomData" ref="A1:L4" etc:filterBottomFollowUsedRange="0"/>
  <tableColumns count="12">
    <tableColumn id="1" name="序号"/>
    <tableColumn id="2" name="公司名称"/>
    <tableColumn id="3" name="技术路径"/>
    <tableColumn id="4" name="产品介绍"/>
    <tableColumn id="5" name="产品临床阶段"/>
    <tableColumn id="6" name="融资情况"/>
    <tableColumn id="7" name="竞争力判断"/>
    <tableColumn id="8" name="所属省份"/>
    <tableColumn id="9" name="总部城市"/>
    <tableColumn id="10" name="相关度/类型"/>
    <tableColumn id="11" name="公开来源"/>
    <tableColumn id="12" name="核验日期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CompanyProvinceTable11" displayName="CompanyProvinceTable11" ref="A1:L5" totalsRowShown="0">
  <autoFilter xmlns:etc="http://www.wps.cn/officeDocument/2017/etCustomData" ref="A1:L5" etc:filterBottomFollowUsedRange="0"/>
  <tableColumns count="12">
    <tableColumn id="1" name="序号"/>
    <tableColumn id="2" name="公司名称"/>
    <tableColumn id="3" name="技术路径"/>
    <tableColumn id="4" name="产品介绍"/>
    <tableColumn id="5" name="产品临床阶段"/>
    <tableColumn id="6" name="融资情况"/>
    <tableColumn id="7" name="竞争力判断"/>
    <tableColumn id="8" name="所属省份"/>
    <tableColumn id="9" name="总部城市"/>
    <tableColumn id="10" name="相关度/类型"/>
    <tableColumn id="11" name="公开来源"/>
    <tableColumn id="12" name="核验日期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CompanyProvinceTable12" displayName="CompanyProvinceTable12" ref="A1:L3" totalsRowShown="0">
  <autoFilter xmlns:etc="http://www.wps.cn/officeDocument/2017/etCustomData" ref="A1:L3" etc:filterBottomFollowUsedRange="0"/>
  <tableColumns count="12">
    <tableColumn id="1" name="序号"/>
    <tableColumn id="2" name="公司名称"/>
    <tableColumn id="3" name="技术路径"/>
    <tableColumn id="4" name="产品介绍"/>
    <tableColumn id="5" name="产品临床阶段"/>
    <tableColumn id="6" name="融资情况"/>
    <tableColumn id="7" name="竞争力判断"/>
    <tableColumn id="8" name="所属省份"/>
    <tableColumn id="9" name="总部城市"/>
    <tableColumn id="10" name="相关度/类型"/>
    <tableColumn id="11" name="公开来源"/>
    <tableColumn id="12" name="核验日期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CompanyProvinceTable13" displayName="CompanyProvinceTable13" ref="A1:L7" totalsRowShown="0">
  <autoFilter xmlns:etc="http://www.wps.cn/officeDocument/2017/etCustomData" ref="A1:L7" etc:filterBottomFollowUsedRange="0"/>
  <tableColumns count="12">
    <tableColumn id="1" name="序号"/>
    <tableColumn id="2" name="公司名称"/>
    <tableColumn id="3" name="技术路径"/>
    <tableColumn id="4" name="产品介绍"/>
    <tableColumn id="5" name="产品临床阶段"/>
    <tableColumn id="6" name="融资情况"/>
    <tableColumn id="7" name="竞争力判断"/>
    <tableColumn id="8" name="所属省份"/>
    <tableColumn id="9" name="总部城市"/>
    <tableColumn id="10" name="相关度/类型"/>
    <tableColumn id="11" name="公开来源"/>
    <tableColumn id="12" name="核验日期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CompanyProvinceTable14" displayName="CompanyProvinceTable14" ref="A1:L2" totalsRowShown="0">
  <autoFilter xmlns:etc="http://www.wps.cn/officeDocument/2017/etCustomData" ref="A1:L2" etc:filterBottomFollowUsedRange="0"/>
  <tableColumns count="12">
    <tableColumn id="1" name="序号"/>
    <tableColumn id="2" name="公司名称"/>
    <tableColumn id="3" name="技术路径"/>
    <tableColumn id="4" name="产品介绍"/>
    <tableColumn id="5" name="产品临床阶段"/>
    <tableColumn id="6" name="融资情况"/>
    <tableColumn id="7" name="竞争力判断"/>
    <tableColumn id="8" name="所属省份"/>
    <tableColumn id="9" name="总部城市"/>
    <tableColumn id="10" name="相关度/类型"/>
    <tableColumn id="11" name="公开来源"/>
    <tableColumn id="12" name="核验日期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CompanyProvinceTable15" displayName="CompanyProvinceTable15" ref="A1:L21" totalsRowShown="0">
  <autoFilter xmlns:etc="http://www.wps.cn/officeDocument/2017/etCustomData" ref="A1:L21" etc:filterBottomFollowUsedRange="0"/>
  <tableColumns count="12">
    <tableColumn id="1" name="序号"/>
    <tableColumn id="2" name="公司名称"/>
    <tableColumn id="3" name="技术路径"/>
    <tableColumn id="4" name="产品介绍"/>
    <tableColumn id="5" name="产品临床阶段"/>
    <tableColumn id="6" name="融资情况"/>
    <tableColumn id="7" name="竞争力判断"/>
    <tableColumn id="8" name="所属省份"/>
    <tableColumn id="9" name="总部城市"/>
    <tableColumn id="10" name="相关度/类型"/>
    <tableColumn id="11" name="公开来源"/>
    <tableColumn id="12" name="核验日期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CompanyProvinceTable16" displayName="CompanyProvinceTable16" ref="A1:L2" totalsRowShown="0">
  <autoFilter xmlns:etc="http://www.wps.cn/officeDocument/2017/etCustomData" ref="A1:L2" etc:filterBottomFollowUsedRange="0"/>
  <tableColumns count="12">
    <tableColumn id="1" name="序号"/>
    <tableColumn id="2" name="公司名称"/>
    <tableColumn id="3" name="技术路径"/>
    <tableColumn id="4" name="产品介绍"/>
    <tableColumn id="5" name="产品临床阶段"/>
    <tableColumn id="6" name="融资情况"/>
    <tableColumn id="7" name="竞争力判断"/>
    <tableColumn id="8" name="所属省份"/>
    <tableColumn id="9" name="总部城市"/>
    <tableColumn id="10" name="相关度/类型"/>
    <tableColumn id="11" name="公开来源"/>
    <tableColumn id="12" name="核验日期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CompanyProvinceTable17" displayName="CompanyProvinceTable17" ref="A1:L3" totalsRowShown="0">
  <autoFilter xmlns:etc="http://www.wps.cn/officeDocument/2017/etCustomData" ref="A1:L3" etc:filterBottomFollowUsedRange="0"/>
  <tableColumns count="12">
    <tableColumn id="1" name="序号"/>
    <tableColumn id="2" name="公司名称"/>
    <tableColumn id="3" name="技术路径"/>
    <tableColumn id="4" name="产品介绍"/>
    <tableColumn id="5" name="产品临床阶段"/>
    <tableColumn id="6" name="融资情况"/>
    <tableColumn id="7" name="竞争力判断"/>
    <tableColumn id="8" name="所属省份"/>
    <tableColumn id="9" name="总部城市"/>
    <tableColumn id="10" name="相关度/类型"/>
    <tableColumn id="11" name="公开来源"/>
    <tableColumn id="12" name="核验日期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CompanyProvinceTable18" displayName="CompanyProvinceTable18" ref="A1:L12" totalsRowShown="0">
  <autoFilter xmlns:etc="http://www.wps.cn/officeDocument/2017/etCustomData" ref="A1:L12" etc:filterBottomFollowUsedRange="0"/>
  <tableColumns count="12">
    <tableColumn id="1" name="序号"/>
    <tableColumn id="2" name="公司名称"/>
    <tableColumn id="3" name="技术路径"/>
    <tableColumn id="4" name="产品介绍"/>
    <tableColumn id="5" name="产品临床阶段"/>
    <tableColumn id="6" name="融资情况"/>
    <tableColumn id="7" name="竞争力判断"/>
    <tableColumn id="8" name="所属省份"/>
    <tableColumn id="9" name="总部城市"/>
    <tableColumn id="10" name="相关度/类型"/>
    <tableColumn id="11" name="公开来源"/>
    <tableColumn id="12" name="核验日期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CompanyProvinceTable19" displayName="CompanyProvinceTable19" ref="A1:L2" totalsRowShown="0">
  <autoFilter xmlns:etc="http://www.wps.cn/officeDocument/2017/etCustomData" ref="A1:L2" etc:filterBottomFollowUsedRange="0"/>
  <tableColumns count="12">
    <tableColumn id="1" name="序号"/>
    <tableColumn id="2" name="公司名称"/>
    <tableColumn id="3" name="技术路径"/>
    <tableColumn id="4" name="产品介绍"/>
    <tableColumn id="5" name="产品临床阶段"/>
    <tableColumn id="6" name="融资情况"/>
    <tableColumn id="7" name="竞争力判断"/>
    <tableColumn id="8" name="所属省份"/>
    <tableColumn id="9" name="总部城市"/>
    <tableColumn id="10" name="相关度/类型"/>
    <tableColumn id="11" name="公开来源"/>
    <tableColumn id="12" name="核验日期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CompanyProvinceTable20" displayName="CompanyProvinceTable20" ref="A1:L2" totalsRowShown="0">
  <autoFilter xmlns:etc="http://www.wps.cn/officeDocument/2017/etCustomData" ref="A1:L2" etc:filterBottomFollowUsedRange="0"/>
  <tableColumns count="12">
    <tableColumn id="1" name="序号"/>
    <tableColumn id="2" name="公司名称"/>
    <tableColumn id="3" name="技术路径"/>
    <tableColumn id="4" name="产品介绍"/>
    <tableColumn id="5" name="产品临床阶段"/>
    <tableColumn id="6" name="融资情况"/>
    <tableColumn id="7" name="竞争力判断"/>
    <tableColumn id="8" name="所属省份"/>
    <tableColumn id="9" name="总部城市"/>
    <tableColumn id="10" name="相关度/类型"/>
    <tableColumn id="11" name="公开来源"/>
    <tableColumn id="12" name="核验日期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CompanyProvinceTable21" displayName="CompanyProvinceTable21" ref="A1:L3" totalsRowShown="0">
  <autoFilter xmlns:etc="http://www.wps.cn/officeDocument/2017/etCustomData" ref="A1:L3" etc:filterBottomFollowUsedRange="0"/>
  <tableColumns count="12">
    <tableColumn id="1" name="序号"/>
    <tableColumn id="2" name="公司名称"/>
    <tableColumn id="3" name="技术路径"/>
    <tableColumn id="4" name="产品介绍"/>
    <tableColumn id="5" name="产品临床阶段"/>
    <tableColumn id="6" name="融资情况"/>
    <tableColumn id="7" name="竞争力判断"/>
    <tableColumn id="8" name="所属省份"/>
    <tableColumn id="9" name="总部城市"/>
    <tableColumn id="10" name="相关度/类型"/>
    <tableColumn id="11" name="公开来源"/>
    <tableColumn id="12" name="核验日期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egion.com/" TargetMode="Externa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egion.com/" TargetMode="External"/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showGridLines="0" workbookViewId="0">
      <selection activeCell="A1" sqref="A1:F1"/>
    </sheetView>
  </sheetViews>
  <sheetFormatPr defaultColWidth="9" defaultRowHeight="14.5" outlineLevelCol="5"/>
  <cols>
    <col min="1" max="1" width="18" customWidth="1"/>
    <col min="2" max="2" width="95" customWidth="1"/>
    <col min="3" max="6" width="3" customWidth="1"/>
  </cols>
  <sheetData>
    <row r="1" ht="36" customHeight="1" spans="1:6">
      <c r="A1" s="23" t="s">
        <v>0</v>
      </c>
      <c r="B1" s="23"/>
      <c r="C1" s="23"/>
      <c r="D1" s="23"/>
      <c r="E1" s="23"/>
      <c r="F1" s="23"/>
    </row>
    <row r="3" ht="28" customHeight="1" spans="1:6">
      <c r="A3" s="24" t="s">
        <v>1</v>
      </c>
      <c r="B3" s="25">
        <v>46252</v>
      </c>
    </row>
    <row r="4" ht="28" customHeight="1" spans="1:6">
      <c r="A4" s="24" t="s">
        <v>2</v>
      </c>
      <c r="B4" s="26">
        <f>COUNTA(全国汇总!$B$2:$B$174)</f>
        <v>173</v>
      </c>
    </row>
    <row r="5" ht="58" customHeight="1" spans="1:6">
      <c r="A5" s="24" t="s">
        <v>3</v>
      </c>
      <c r="B5" s="26" t="s">
        <v>4</v>
      </c>
    </row>
    <row r="6" ht="58" customHeight="1" spans="1:6">
      <c r="A6" s="24" t="s">
        <v>5</v>
      </c>
      <c r="B6" s="26" t="s">
        <v>6</v>
      </c>
    </row>
    <row r="7" ht="58" customHeight="1" spans="1:6">
      <c r="A7" s="24" t="s">
        <v>7</v>
      </c>
      <c r="B7" s="26" t="s">
        <v>8</v>
      </c>
    </row>
    <row r="8" ht="58" customHeight="1" spans="1:6">
      <c r="A8" s="24" t="s">
        <v>9</v>
      </c>
      <c r="B8" s="26" t="s">
        <v>10</v>
      </c>
    </row>
    <row r="9" ht="58" customHeight="1" spans="1:6">
      <c r="A9" s="24" t="s">
        <v>11</v>
      </c>
      <c r="B9" s="26" t="s">
        <v>12</v>
      </c>
    </row>
    <row r="10" ht="58" customHeight="1" spans="1:6">
      <c r="A10" s="24" t="s">
        <v>13</v>
      </c>
      <c r="B10" s="26" t="s">
        <v>14</v>
      </c>
    </row>
    <row r="12" ht="42" customHeight="1" spans="1:6">
      <c r="A12" s="27" t="s">
        <v>15</v>
      </c>
      <c r="B12" s="27"/>
      <c r="C12" s="27"/>
      <c r="D12" s="27"/>
      <c r="E12" s="27"/>
      <c r="F12" s="27"/>
    </row>
  </sheetData>
  <mergeCells count="2">
    <mergeCell ref="A1:F1"/>
    <mergeCell ref="A12:F1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showGridLines="0" workbookViewId="0">
      <selection activeCell="K22" sqref="K22"/>
    </sheetView>
  </sheetViews>
  <sheetFormatPr defaultColWidth="9" defaultRowHeight="14.5" outlineLevelCol="3"/>
  <cols>
    <col min="1" max="1" width="22" customWidth="1"/>
    <col min="2" max="2" width="12" customWidth="1"/>
    <col min="3" max="3" width="24" customWidth="1"/>
    <col min="4" max="4" width="48" customWidth="1"/>
  </cols>
  <sheetData>
    <row r="1" ht="30" customHeight="1" spans="1:4">
      <c r="A1" s="1" t="s">
        <v>16</v>
      </c>
      <c r="B1" s="1" t="s">
        <v>17</v>
      </c>
      <c r="C1" s="1" t="s">
        <v>18</v>
      </c>
      <c r="D1" s="1" t="s">
        <v>19</v>
      </c>
    </row>
    <row r="2" spans="1:4">
      <c r="A2" s="20" t="s">
        <v>20</v>
      </c>
      <c r="B2" s="21">
        <f>COUNTIF(全国汇总!$H$2:$H$173,A2)</f>
        <v>20</v>
      </c>
      <c r="C2" s="20" t="str">
        <f t="shared" ref="C2:C35" si="0">IF(B2=0,"暂未检索到符合口径对象","已收录")</f>
        <v>已收录</v>
      </c>
      <c r="D2" s="20"/>
    </row>
    <row r="3" spans="1:4">
      <c r="A3" s="20" t="s">
        <v>21</v>
      </c>
      <c r="B3" s="21">
        <f>COUNTIF(全国汇总!$H$2:$H$173,A3)</f>
        <v>7</v>
      </c>
      <c r="C3" s="20" t="str">
        <f t="shared" si="0"/>
        <v>已收录</v>
      </c>
      <c r="D3" s="20"/>
    </row>
    <row r="4" spans="1:4">
      <c r="A4" s="20" t="s">
        <v>22</v>
      </c>
      <c r="B4" s="21">
        <f>COUNTIF(全国汇总!$H$2:$H$173,A4)</f>
        <v>1</v>
      </c>
      <c r="C4" s="20" t="str">
        <f t="shared" si="0"/>
        <v>已收录</v>
      </c>
      <c r="D4" s="20"/>
    </row>
    <row r="5" spans="1:4">
      <c r="A5" s="20" t="s">
        <v>23</v>
      </c>
      <c r="B5" s="21">
        <f>COUNTIF(全国汇总!$H$2:$H$173,A5)</f>
        <v>0</v>
      </c>
      <c r="C5" s="20"/>
      <c r="D5" s="20"/>
    </row>
    <row r="6" spans="1:4">
      <c r="A6" s="20" t="s">
        <v>24</v>
      </c>
      <c r="B6" s="21">
        <f>COUNTIF(全国汇总!$H$2:$H$173,A6)</f>
        <v>0</v>
      </c>
      <c r="C6" s="20"/>
      <c r="D6" s="20"/>
    </row>
    <row r="7" spans="1:4">
      <c r="A7" s="20" t="s">
        <v>25</v>
      </c>
      <c r="B7" s="21">
        <f>COUNTIF(全国汇总!$H$2:$H$173,A7)</f>
        <v>1</v>
      </c>
      <c r="C7" s="20" t="str">
        <f t="shared" si="0"/>
        <v>已收录</v>
      </c>
      <c r="D7" s="20"/>
    </row>
    <row r="8" spans="1:4">
      <c r="A8" s="20" t="s">
        <v>26</v>
      </c>
      <c r="B8" s="21">
        <f>COUNTIF(全国汇总!$H$2:$H$173,A8)</f>
        <v>0</v>
      </c>
      <c r="C8" s="20"/>
      <c r="D8" s="20"/>
    </row>
    <row r="9" spans="1:4">
      <c r="A9" s="20" t="s">
        <v>27</v>
      </c>
      <c r="B9" s="21">
        <f>COUNTIF(全国汇总!$H$2:$H$173,A9)</f>
        <v>0</v>
      </c>
      <c r="C9" s="20"/>
      <c r="D9" s="20"/>
    </row>
    <row r="10" spans="1:4">
      <c r="A10" s="20" t="s">
        <v>28</v>
      </c>
      <c r="B10" s="21">
        <f>COUNTIF(全国汇总!$H$2:$H$173,A10)</f>
        <v>25</v>
      </c>
      <c r="C10" s="20" t="str">
        <f t="shared" si="0"/>
        <v>已收录</v>
      </c>
      <c r="D10" s="20"/>
    </row>
    <row r="11" spans="1:4">
      <c r="A11" s="20" t="s">
        <v>29</v>
      </c>
      <c r="B11" s="21">
        <f>COUNTIF(全国汇总!$H$2:$H$173,A11)</f>
        <v>32</v>
      </c>
      <c r="C11" s="20" t="str">
        <f t="shared" si="0"/>
        <v>已收录</v>
      </c>
      <c r="D11" s="20"/>
    </row>
    <row r="12" spans="1:4">
      <c r="A12" s="20" t="s">
        <v>30</v>
      </c>
      <c r="B12" s="21">
        <f>COUNTIF(全国汇总!$H$2:$H$173,A12)</f>
        <v>27</v>
      </c>
      <c r="C12" s="20" t="str">
        <f t="shared" si="0"/>
        <v>已收录</v>
      </c>
      <c r="D12" s="20"/>
    </row>
    <row r="13" spans="1:4">
      <c r="A13" s="20" t="s">
        <v>31</v>
      </c>
      <c r="B13" s="21">
        <f>COUNTIF(全国汇总!$H$2:$H$173,A13)</f>
        <v>3</v>
      </c>
      <c r="C13" s="20" t="str">
        <f t="shared" si="0"/>
        <v>已收录</v>
      </c>
      <c r="D13" s="20"/>
    </row>
    <row r="14" spans="1:4">
      <c r="A14" s="20" t="s">
        <v>32</v>
      </c>
      <c r="B14" s="21">
        <f>COUNTIF(全国汇总!$H$2:$H$173,A14)</f>
        <v>2</v>
      </c>
      <c r="C14" s="20" t="str">
        <f t="shared" si="0"/>
        <v>已收录</v>
      </c>
      <c r="D14" s="20"/>
    </row>
    <row r="15" spans="1:4">
      <c r="A15" s="20" t="s">
        <v>33</v>
      </c>
      <c r="B15" s="21">
        <f>COUNTIF(全国汇总!$H$2:$H$173,A15)</f>
        <v>3</v>
      </c>
      <c r="C15" s="20" t="str">
        <f t="shared" si="0"/>
        <v>已收录</v>
      </c>
      <c r="D15" s="20"/>
    </row>
    <row r="16" spans="1:4">
      <c r="A16" s="20" t="s">
        <v>34</v>
      </c>
      <c r="B16" s="21">
        <f>COUNTIF(全国汇总!$H$2:$H$173,A16)</f>
        <v>4</v>
      </c>
      <c r="C16" s="20" t="str">
        <f t="shared" si="0"/>
        <v>已收录</v>
      </c>
      <c r="D16" s="20"/>
    </row>
    <row r="17" spans="1:4">
      <c r="A17" s="20" t="s">
        <v>35</v>
      </c>
      <c r="B17" s="21">
        <f>COUNTIF(全国汇总!$H$2:$H$173,A17)</f>
        <v>2</v>
      </c>
      <c r="C17" s="20" t="str">
        <f t="shared" si="0"/>
        <v>已收录</v>
      </c>
      <c r="D17" s="20"/>
    </row>
    <row r="18" spans="1:4">
      <c r="A18" s="20" t="s">
        <v>36</v>
      </c>
      <c r="B18" s="21">
        <f>COUNTIF(全国汇总!$H$2:$H$173,A18)</f>
        <v>6</v>
      </c>
      <c r="C18" s="20" t="str">
        <f t="shared" si="0"/>
        <v>已收录</v>
      </c>
      <c r="D18" s="20"/>
    </row>
    <row r="19" spans="1:4">
      <c r="A19" s="20" t="s">
        <v>37</v>
      </c>
      <c r="B19" s="21">
        <f>COUNTIF(全国汇总!$H$2:$H$173,A19)</f>
        <v>1</v>
      </c>
      <c r="C19" s="20" t="str">
        <f t="shared" si="0"/>
        <v>已收录</v>
      </c>
      <c r="D19" s="20"/>
    </row>
    <row r="20" spans="1:4">
      <c r="A20" s="20" t="s">
        <v>38</v>
      </c>
      <c r="B20" s="21">
        <f>COUNTIF(全国汇总!$H$2:$H$173,A20)</f>
        <v>20</v>
      </c>
      <c r="C20" s="20" t="str">
        <f t="shared" si="0"/>
        <v>已收录</v>
      </c>
      <c r="D20" s="20"/>
    </row>
    <row r="21" spans="1:4">
      <c r="A21" s="20" t="s">
        <v>39</v>
      </c>
      <c r="B21" s="21">
        <f>COUNTIF(全国汇总!$H$2:$H$173,A21)</f>
        <v>0</v>
      </c>
      <c r="C21" s="20"/>
      <c r="D21" s="20"/>
    </row>
    <row r="22" spans="1:4">
      <c r="A22" s="20" t="s">
        <v>40</v>
      </c>
      <c r="B22" s="21">
        <f>COUNTIF(全国汇总!$H$2:$H$173,A22)</f>
        <v>1</v>
      </c>
      <c r="C22" s="20" t="str">
        <f t="shared" si="0"/>
        <v>已收录</v>
      </c>
      <c r="D22" s="20"/>
    </row>
    <row r="23" spans="1:4">
      <c r="A23" s="20" t="s">
        <v>41</v>
      </c>
      <c r="B23" s="21">
        <f>COUNTIF(全国汇总!$H$2:$H$173,A23)</f>
        <v>2</v>
      </c>
      <c r="C23" s="20" t="str">
        <f t="shared" si="0"/>
        <v>已收录</v>
      </c>
      <c r="D23" s="20"/>
    </row>
    <row r="24" spans="1:4">
      <c r="A24" s="20" t="s">
        <v>42</v>
      </c>
      <c r="B24" s="21">
        <f>COUNTIF(全国汇总!$H$2:$H$173,A24)</f>
        <v>11</v>
      </c>
      <c r="C24" s="20" t="str">
        <f t="shared" si="0"/>
        <v>已收录</v>
      </c>
      <c r="D24" s="20"/>
    </row>
    <row r="25" spans="1:4">
      <c r="A25" s="20" t="s">
        <v>43</v>
      </c>
      <c r="B25" s="21">
        <f>COUNTIF(全国汇总!$H$2:$H$173,A25)</f>
        <v>1</v>
      </c>
      <c r="C25" s="20" t="str">
        <f t="shared" si="0"/>
        <v>已收录</v>
      </c>
      <c r="D25" s="20"/>
    </row>
    <row r="26" spans="1:4">
      <c r="A26" s="20" t="s">
        <v>44</v>
      </c>
      <c r="B26" s="21">
        <f>COUNTIF(全国汇总!$H$2:$H$173,A26)</f>
        <v>1</v>
      </c>
      <c r="C26" s="20" t="str">
        <f t="shared" si="0"/>
        <v>已收录</v>
      </c>
      <c r="D26" s="20"/>
    </row>
    <row r="27" spans="1:4">
      <c r="A27" s="20" t="s">
        <v>45</v>
      </c>
      <c r="B27" s="21">
        <f>COUNTIF(全国汇总!$H$2:$H$173,A27)</f>
        <v>0</v>
      </c>
      <c r="C27" s="20"/>
      <c r="D27" s="20"/>
    </row>
    <row r="28" spans="1:4">
      <c r="A28" s="20" t="s">
        <v>46</v>
      </c>
      <c r="B28" s="21">
        <f>COUNTIF(全国汇总!$H$2:$H$173,A28)</f>
        <v>2</v>
      </c>
      <c r="C28" s="20" t="str">
        <f t="shared" si="0"/>
        <v>已收录</v>
      </c>
      <c r="D28" s="20"/>
    </row>
    <row r="29" spans="1:4">
      <c r="A29" s="20" t="s">
        <v>47</v>
      </c>
      <c r="B29" s="21">
        <f>COUNTIF(全国汇总!$H$2:$H$173,A29)</f>
        <v>0</v>
      </c>
      <c r="C29" s="20"/>
      <c r="D29" s="20"/>
    </row>
    <row r="30" spans="1:4">
      <c r="A30" s="20" t="s">
        <v>48</v>
      </c>
      <c r="B30" s="21">
        <f>COUNTIF(全国汇总!$H$2:$H$173,A30)</f>
        <v>0</v>
      </c>
      <c r="C30" s="20"/>
      <c r="D30" s="20"/>
    </row>
    <row r="31" spans="1:4">
      <c r="A31" s="20" t="s">
        <v>49</v>
      </c>
      <c r="B31" s="21">
        <f>COUNTIF(全国汇总!$H$2:$H$173,A31)</f>
        <v>0</v>
      </c>
      <c r="C31" s="20"/>
      <c r="D31" s="20"/>
    </row>
    <row r="32" spans="1:4">
      <c r="A32" s="20" t="s">
        <v>50</v>
      </c>
      <c r="B32" s="21">
        <f>COUNTIF(全国汇总!$H$2:$H$173,A32)</f>
        <v>0</v>
      </c>
      <c r="C32" s="20"/>
      <c r="D32" s="20"/>
    </row>
    <row r="33" spans="1:4">
      <c r="A33" s="20" t="s">
        <v>51</v>
      </c>
      <c r="B33" s="21">
        <f>COUNTIF(全国汇总!$H$2:$H$173,A33)</f>
        <v>0</v>
      </c>
      <c r="C33" s="22"/>
      <c r="D33" s="20"/>
    </row>
    <row r="34" spans="1:4">
      <c r="A34" s="20" t="s">
        <v>52</v>
      </c>
      <c r="B34" s="21">
        <f>COUNTIF(全国汇总!$H$2:$H$173,A34)</f>
        <v>0</v>
      </c>
      <c r="C34" s="20"/>
      <c r="D34" s="20"/>
    </row>
    <row r="35" spans="1:4">
      <c r="A35" s="20" t="s">
        <v>53</v>
      </c>
      <c r="B35" s="21">
        <f>COUNTIF(全国汇总!$H$2:$H$173,A35)</f>
        <v>0</v>
      </c>
      <c r="C35" s="20"/>
      <c r="D35" s="20"/>
    </row>
  </sheetData>
  <conditionalFormatting sqref="C2:C35">
    <cfRule type="containsText" dxfId="0" priority="1" operator="between" text="暂未检索到">
      <formula>NOT(ISERROR(SEARCH("暂未检索到",C2)))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4"/>
  <sheetViews>
    <sheetView showGridLines="0" topLeftCell="L171" workbookViewId="0">
      <selection activeCell="B174" sqref="B174:L174"/>
    </sheetView>
  </sheetViews>
  <sheetFormatPr defaultColWidth="9" defaultRowHeight="14.5"/>
  <cols>
    <col min="1" max="1" width="7" customWidth="1"/>
    <col min="2" max="2" width="30" customWidth="1"/>
    <col min="3" max="3" width="18" customWidth="1"/>
    <col min="4" max="4" width="48" customWidth="1"/>
    <col min="5" max="5" width="34" customWidth="1"/>
    <col min="6" max="6" width="40" customWidth="1"/>
    <col min="7" max="7" width="50" customWidth="1"/>
    <col min="8" max="8" width="13" customWidth="1"/>
    <col min="9" max="9" width="14" customWidth="1"/>
    <col min="10" max="10" width="16" customWidth="1"/>
    <col min="11" max="11" width="60" customWidth="1"/>
    <col min="12" max="12" width="13" customWidth="1"/>
  </cols>
  <sheetData>
    <row r="1" ht="30" customHeight="1" spans="1:1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11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1</v>
      </c>
    </row>
    <row r="2" ht="58" customHeight="1" spans="1:12">
      <c r="A2" s="2">
        <v>1</v>
      </c>
      <c r="B2" s="3" t="s">
        <v>64</v>
      </c>
      <c r="C2" s="3" t="s">
        <v>65</v>
      </c>
      <c r="D2" s="3" t="s">
        <v>66</v>
      </c>
      <c r="E2" s="3" t="s">
        <v>67</v>
      </c>
      <c r="F2" s="3" t="s">
        <v>68</v>
      </c>
      <c r="G2" s="3" t="s">
        <v>69</v>
      </c>
      <c r="H2" s="3" t="s">
        <v>20</v>
      </c>
      <c r="I2" s="3" t="s">
        <v>70</v>
      </c>
      <c r="J2" s="3" t="s">
        <v>71</v>
      </c>
      <c r="K2" s="3" t="s">
        <v>72</v>
      </c>
      <c r="L2" s="4">
        <v>46252</v>
      </c>
    </row>
    <row r="3" ht="58" customHeight="1" spans="1:12">
      <c r="A3" s="11">
        <v>2</v>
      </c>
      <c r="B3" s="12" t="s">
        <v>73</v>
      </c>
      <c r="C3" s="12" t="s">
        <v>74</v>
      </c>
      <c r="D3" s="12" t="s">
        <v>75</v>
      </c>
      <c r="E3" s="12" t="s">
        <v>76</v>
      </c>
      <c r="F3" s="12" t="s">
        <v>77</v>
      </c>
      <c r="G3" s="12" t="s">
        <v>78</v>
      </c>
      <c r="H3" s="12" t="s">
        <v>20</v>
      </c>
      <c r="I3" s="12" t="s">
        <v>70</v>
      </c>
      <c r="J3" s="12" t="s">
        <v>79</v>
      </c>
      <c r="K3" s="12" t="s">
        <v>80</v>
      </c>
      <c r="L3" s="13">
        <v>46252</v>
      </c>
    </row>
    <row r="4" ht="58" customHeight="1" spans="1:12">
      <c r="A4" s="11">
        <v>3</v>
      </c>
      <c r="B4" s="12" t="s">
        <v>81</v>
      </c>
      <c r="C4" s="12" t="s">
        <v>82</v>
      </c>
      <c r="D4" s="12" t="s">
        <v>83</v>
      </c>
      <c r="E4" s="12" t="s">
        <v>84</v>
      </c>
      <c r="F4" s="12" t="s">
        <v>77</v>
      </c>
      <c r="G4" s="12" t="s">
        <v>85</v>
      </c>
      <c r="H4" s="12" t="s">
        <v>20</v>
      </c>
      <c r="I4" s="12" t="s">
        <v>70</v>
      </c>
      <c r="J4" s="12" t="s">
        <v>86</v>
      </c>
      <c r="K4" s="12" t="s">
        <v>87</v>
      </c>
      <c r="L4" s="13">
        <v>46252</v>
      </c>
    </row>
    <row r="5" ht="58" customHeight="1" spans="1:12">
      <c r="A5" s="11">
        <v>4</v>
      </c>
      <c r="B5" s="12" t="s">
        <v>88</v>
      </c>
      <c r="C5" s="12" t="s">
        <v>65</v>
      </c>
      <c r="D5" s="12" t="s">
        <v>89</v>
      </c>
      <c r="E5" s="12" t="s">
        <v>90</v>
      </c>
      <c r="F5" s="12" t="s">
        <v>91</v>
      </c>
      <c r="G5" s="12" t="s">
        <v>92</v>
      </c>
      <c r="H5" s="12" t="s">
        <v>20</v>
      </c>
      <c r="I5" s="12" t="s">
        <v>70</v>
      </c>
      <c r="J5" s="12" t="s">
        <v>93</v>
      </c>
      <c r="K5" s="12" t="s">
        <v>94</v>
      </c>
      <c r="L5" s="13">
        <v>46252</v>
      </c>
    </row>
    <row r="6" ht="58" customHeight="1" spans="1:12">
      <c r="A6" s="11">
        <v>5</v>
      </c>
      <c r="B6" s="12" t="s">
        <v>95</v>
      </c>
      <c r="C6" s="12" t="s">
        <v>96</v>
      </c>
      <c r="D6" s="12" t="s">
        <v>97</v>
      </c>
      <c r="E6" s="12" t="s">
        <v>98</v>
      </c>
      <c r="F6" s="12" t="s">
        <v>99</v>
      </c>
      <c r="G6" s="12" t="s">
        <v>100</v>
      </c>
      <c r="H6" s="12" t="s">
        <v>20</v>
      </c>
      <c r="I6" s="12" t="s">
        <v>70</v>
      </c>
      <c r="J6" s="12" t="s">
        <v>93</v>
      </c>
      <c r="K6" s="12" t="s">
        <v>101</v>
      </c>
      <c r="L6" s="13">
        <v>46252</v>
      </c>
    </row>
    <row r="7" ht="58" customHeight="1" spans="1:12">
      <c r="A7" s="11">
        <v>6</v>
      </c>
      <c r="B7" s="12" t="s">
        <v>102</v>
      </c>
      <c r="C7" s="12" t="s">
        <v>103</v>
      </c>
      <c r="D7" s="12" t="s">
        <v>104</v>
      </c>
      <c r="E7" s="12" t="s">
        <v>105</v>
      </c>
      <c r="F7" s="12" t="s">
        <v>106</v>
      </c>
      <c r="G7" s="12" t="s">
        <v>107</v>
      </c>
      <c r="H7" s="12" t="s">
        <v>20</v>
      </c>
      <c r="I7" s="12" t="s">
        <v>70</v>
      </c>
      <c r="J7" s="12" t="s">
        <v>93</v>
      </c>
      <c r="K7" s="12" t="s">
        <v>108</v>
      </c>
      <c r="L7" s="13">
        <v>46252</v>
      </c>
    </row>
    <row r="8" ht="58" customHeight="1" spans="1:12">
      <c r="A8" s="11">
        <v>7</v>
      </c>
      <c r="B8" s="12" t="s">
        <v>109</v>
      </c>
      <c r="C8" s="12" t="s">
        <v>110</v>
      </c>
      <c r="D8" s="12" t="s">
        <v>111</v>
      </c>
      <c r="E8" s="12" t="s">
        <v>112</v>
      </c>
      <c r="F8" s="12" t="s">
        <v>113</v>
      </c>
      <c r="G8" s="12" t="s">
        <v>114</v>
      </c>
      <c r="H8" s="12" t="s">
        <v>20</v>
      </c>
      <c r="I8" s="12" t="s">
        <v>70</v>
      </c>
      <c r="J8" s="12" t="s">
        <v>71</v>
      </c>
      <c r="K8" s="12" t="s">
        <v>115</v>
      </c>
      <c r="L8" s="13">
        <v>46252</v>
      </c>
    </row>
    <row r="9" ht="58" customHeight="1" spans="1:12">
      <c r="A9" s="11">
        <v>8</v>
      </c>
      <c r="B9" s="12" t="s">
        <v>116</v>
      </c>
      <c r="C9" s="12" t="s">
        <v>117</v>
      </c>
      <c r="D9" s="12" t="s">
        <v>118</v>
      </c>
      <c r="E9" s="12" t="s">
        <v>119</v>
      </c>
      <c r="F9" s="12" t="s">
        <v>77</v>
      </c>
      <c r="G9" s="12" t="s">
        <v>120</v>
      </c>
      <c r="H9" s="12" t="s">
        <v>20</v>
      </c>
      <c r="I9" s="12" t="s">
        <v>70</v>
      </c>
      <c r="J9" s="12" t="s">
        <v>121</v>
      </c>
      <c r="K9" s="12" t="s">
        <v>122</v>
      </c>
      <c r="L9" s="13">
        <v>46252</v>
      </c>
    </row>
    <row r="10" ht="58" customHeight="1" spans="1:12">
      <c r="A10" s="11">
        <v>9</v>
      </c>
      <c r="B10" s="12" t="s">
        <v>123</v>
      </c>
      <c r="C10" s="12" t="s">
        <v>96</v>
      </c>
      <c r="D10" s="12" t="s">
        <v>124</v>
      </c>
      <c r="E10" s="12" t="s">
        <v>125</v>
      </c>
      <c r="F10" s="12" t="s">
        <v>126</v>
      </c>
      <c r="G10" s="12" t="s">
        <v>127</v>
      </c>
      <c r="H10" s="12" t="s">
        <v>20</v>
      </c>
      <c r="I10" s="12" t="s">
        <v>70</v>
      </c>
      <c r="J10" s="12" t="s">
        <v>93</v>
      </c>
      <c r="K10" s="12" t="s">
        <v>128</v>
      </c>
      <c r="L10" s="13">
        <v>46252</v>
      </c>
    </row>
    <row r="11" ht="58" customHeight="1" spans="1:12">
      <c r="A11" s="11">
        <v>10</v>
      </c>
      <c r="B11" s="12" t="s">
        <v>129</v>
      </c>
      <c r="C11" s="12" t="s">
        <v>130</v>
      </c>
      <c r="D11" s="12" t="s">
        <v>131</v>
      </c>
      <c r="E11" s="12" t="s">
        <v>132</v>
      </c>
      <c r="F11" s="12" t="s">
        <v>133</v>
      </c>
      <c r="G11" s="12" t="s">
        <v>134</v>
      </c>
      <c r="H11" s="12" t="s">
        <v>20</v>
      </c>
      <c r="I11" s="12" t="s">
        <v>70</v>
      </c>
      <c r="J11" s="12" t="s">
        <v>93</v>
      </c>
      <c r="K11" s="12" t="s">
        <v>135</v>
      </c>
      <c r="L11" s="13">
        <v>46252</v>
      </c>
    </row>
    <row r="12" ht="58" customHeight="1" spans="1:12">
      <c r="A12" s="11">
        <v>11</v>
      </c>
      <c r="B12" s="12" t="s">
        <v>136</v>
      </c>
      <c r="C12" s="12" t="s">
        <v>137</v>
      </c>
      <c r="D12" s="12" t="s">
        <v>138</v>
      </c>
      <c r="E12" s="12" t="s">
        <v>139</v>
      </c>
      <c r="F12" s="12" t="s">
        <v>77</v>
      </c>
      <c r="G12" s="12" t="s">
        <v>140</v>
      </c>
      <c r="H12" s="12" t="s">
        <v>20</v>
      </c>
      <c r="I12" s="12" t="s">
        <v>70</v>
      </c>
      <c r="J12" s="12" t="s">
        <v>121</v>
      </c>
      <c r="K12" s="12" t="s">
        <v>141</v>
      </c>
      <c r="L12" s="13">
        <v>46252</v>
      </c>
    </row>
    <row r="13" ht="58" customHeight="1" spans="1:12">
      <c r="A13" s="11">
        <v>12</v>
      </c>
      <c r="B13" s="12" t="s">
        <v>142</v>
      </c>
      <c r="C13" s="12" t="s">
        <v>137</v>
      </c>
      <c r="D13" s="12" t="s">
        <v>143</v>
      </c>
      <c r="E13" s="12" t="s">
        <v>144</v>
      </c>
      <c r="F13" s="12" t="s">
        <v>145</v>
      </c>
      <c r="G13" s="12" t="s">
        <v>146</v>
      </c>
      <c r="H13" s="12" t="s">
        <v>20</v>
      </c>
      <c r="I13" s="12" t="s">
        <v>70</v>
      </c>
      <c r="J13" s="12" t="s">
        <v>93</v>
      </c>
      <c r="K13" s="12" t="s">
        <v>147</v>
      </c>
      <c r="L13" s="13">
        <v>46252</v>
      </c>
    </row>
    <row r="14" ht="58" customHeight="1" spans="1:12">
      <c r="A14" s="11">
        <v>13</v>
      </c>
      <c r="B14" s="12" t="s">
        <v>148</v>
      </c>
      <c r="C14" s="12" t="s">
        <v>149</v>
      </c>
      <c r="D14" s="12" t="s">
        <v>150</v>
      </c>
      <c r="E14" s="12" t="s">
        <v>151</v>
      </c>
      <c r="F14" s="12" t="s">
        <v>152</v>
      </c>
      <c r="G14" s="12" t="s">
        <v>153</v>
      </c>
      <c r="H14" s="12" t="s">
        <v>20</v>
      </c>
      <c r="I14" s="12" t="s">
        <v>70</v>
      </c>
      <c r="J14" s="12" t="s">
        <v>93</v>
      </c>
      <c r="K14" s="12" t="s">
        <v>154</v>
      </c>
      <c r="L14" s="13">
        <v>46252</v>
      </c>
    </row>
    <row r="15" ht="58" customHeight="1" spans="1:12">
      <c r="A15" s="11">
        <v>14</v>
      </c>
      <c r="B15" s="12" t="s">
        <v>155</v>
      </c>
      <c r="C15" s="12" t="s">
        <v>156</v>
      </c>
      <c r="D15" s="12" t="s">
        <v>157</v>
      </c>
      <c r="E15" s="12" t="s">
        <v>158</v>
      </c>
      <c r="F15" s="12" t="s">
        <v>159</v>
      </c>
      <c r="G15" s="12" t="s">
        <v>160</v>
      </c>
      <c r="H15" s="12" t="s">
        <v>20</v>
      </c>
      <c r="I15" s="12" t="s">
        <v>70</v>
      </c>
      <c r="J15" s="12" t="s">
        <v>93</v>
      </c>
      <c r="K15" s="12" t="s">
        <v>161</v>
      </c>
      <c r="L15" s="13">
        <v>46252</v>
      </c>
    </row>
    <row r="16" ht="58" customHeight="1" spans="1:12">
      <c r="A16" s="11">
        <v>15</v>
      </c>
      <c r="B16" s="12" t="s">
        <v>162</v>
      </c>
      <c r="C16" s="12" t="s">
        <v>163</v>
      </c>
      <c r="D16" s="12" t="s">
        <v>164</v>
      </c>
      <c r="E16" s="12" t="s">
        <v>165</v>
      </c>
      <c r="F16" s="12" t="s">
        <v>166</v>
      </c>
      <c r="G16" s="12" t="s">
        <v>167</v>
      </c>
      <c r="H16" s="12" t="s">
        <v>20</v>
      </c>
      <c r="I16" s="12" t="s">
        <v>70</v>
      </c>
      <c r="J16" s="12" t="s">
        <v>93</v>
      </c>
      <c r="K16" s="12" t="s">
        <v>94</v>
      </c>
      <c r="L16" s="13">
        <v>46252</v>
      </c>
    </row>
    <row r="17" ht="58" customHeight="1" spans="1:12">
      <c r="A17" s="11">
        <v>16</v>
      </c>
      <c r="B17" s="12" t="s">
        <v>168</v>
      </c>
      <c r="C17" s="12" t="s">
        <v>169</v>
      </c>
      <c r="D17" s="12" t="s">
        <v>170</v>
      </c>
      <c r="E17" s="12" t="s">
        <v>171</v>
      </c>
      <c r="F17" s="12" t="s">
        <v>172</v>
      </c>
      <c r="G17" s="12" t="s">
        <v>173</v>
      </c>
      <c r="H17" s="12" t="s">
        <v>20</v>
      </c>
      <c r="I17" s="12" t="s">
        <v>70</v>
      </c>
      <c r="J17" s="12" t="s">
        <v>71</v>
      </c>
      <c r="K17" s="12" t="s">
        <v>174</v>
      </c>
      <c r="L17" s="13">
        <v>46252</v>
      </c>
    </row>
    <row r="18" ht="58" customHeight="1" spans="1:12">
      <c r="A18" s="11">
        <v>17</v>
      </c>
      <c r="B18" s="12" t="s">
        <v>175</v>
      </c>
      <c r="C18" s="12" t="s">
        <v>176</v>
      </c>
      <c r="D18" s="12" t="s">
        <v>177</v>
      </c>
      <c r="E18" s="12" t="s">
        <v>178</v>
      </c>
      <c r="F18" s="12" t="s">
        <v>179</v>
      </c>
      <c r="G18" s="12" t="s">
        <v>180</v>
      </c>
      <c r="H18" s="12" t="s">
        <v>20</v>
      </c>
      <c r="I18" s="12" t="s">
        <v>70</v>
      </c>
      <c r="J18" s="12" t="s">
        <v>181</v>
      </c>
      <c r="K18" s="12" t="s">
        <v>174</v>
      </c>
      <c r="L18" s="13">
        <v>46252</v>
      </c>
    </row>
    <row r="19" ht="58" customHeight="1" spans="1:12">
      <c r="A19" s="11">
        <v>18</v>
      </c>
      <c r="B19" s="12" t="s">
        <v>182</v>
      </c>
      <c r="C19" s="12" t="s">
        <v>183</v>
      </c>
      <c r="D19" s="12" t="s">
        <v>184</v>
      </c>
      <c r="E19" s="12" t="s">
        <v>185</v>
      </c>
      <c r="F19" s="12" t="s">
        <v>77</v>
      </c>
      <c r="G19" s="12" t="s">
        <v>186</v>
      </c>
      <c r="H19" s="12" t="s">
        <v>20</v>
      </c>
      <c r="I19" s="12" t="s">
        <v>70</v>
      </c>
      <c r="J19" s="12" t="s">
        <v>86</v>
      </c>
      <c r="K19" s="12" t="s">
        <v>187</v>
      </c>
      <c r="L19" s="13">
        <v>46252</v>
      </c>
    </row>
    <row r="20" ht="58" customHeight="1" spans="1:12">
      <c r="A20" s="11">
        <v>19</v>
      </c>
      <c r="B20" s="12" t="s">
        <v>188</v>
      </c>
      <c r="C20" s="12" t="s">
        <v>189</v>
      </c>
      <c r="D20" s="12" t="s">
        <v>190</v>
      </c>
      <c r="E20" s="12" t="s">
        <v>191</v>
      </c>
      <c r="F20" s="12" t="s">
        <v>192</v>
      </c>
      <c r="G20" s="12" t="s">
        <v>193</v>
      </c>
      <c r="H20" s="12" t="s">
        <v>20</v>
      </c>
      <c r="I20" s="12" t="s">
        <v>70</v>
      </c>
      <c r="J20" s="12" t="s">
        <v>194</v>
      </c>
      <c r="K20" s="12" t="s">
        <v>195</v>
      </c>
      <c r="L20" s="13">
        <v>46252</v>
      </c>
    </row>
    <row r="21" ht="58" customHeight="1" spans="1:12">
      <c r="A21" s="11">
        <v>20</v>
      </c>
      <c r="B21" s="12" t="s">
        <v>196</v>
      </c>
      <c r="C21" s="12" t="s">
        <v>197</v>
      </c>
      <c r="D21" s="12" t="s">
        <v>198</v>
      </c>
      <c r="E21" s="12" t="s">
        <v>199</v>
      </c>
      <c r="F21" s="12" t="s">
        <v>200</v>
      </c>
      <c r="G21" s="12" t="s">
        <v>201</v>
      </c>
      <c r="H21" s="12" t="s">
        <v>20</v>
      </c>
      <c r="I21" s="12" t="s">
        <v>70</v>
      </c>
      <c r="J21" s="12" t="s">
        <v>202</v>
      </c>
      <c r="K21" s="12" t="s">
        <v>94</v>
      </c>
      <c r="L21" s="13">
        <v>46252</v>
      </c>
    </row>
    <row r="22" ht="58" customHeight="1" spans="1:12">
      <c r="A22" s="11">
        <v>21</v>
      </c>
      <c r="B22" s="12" t="s">
        <v>203</v>
      </c>
      <c r="C22" s="12" t="s">
        <v>204</v>
      </c>
      <c r="D22" s="12" t="s">
        <v>205</v>
      </c>
      <c r="E22" s="12" t="s">
        <v>206</v>
      </c>
      <c r="F22" s="12" t="s">
        <v>77</v>
      </c>
      <c r="G22" s="12" t="s">
        <v>207</v>
      </c>
      <c r="H22" s="12" t="s">
        <v>21</v>
      </c>
      <c r="I22" s="12" t="s">
        <v>208</v>
      </c>
      <c r="J22" s="12" t="s">
        <v>209</v>
      </c>
      <c r="K22" s="12" t="s">
        <v>210</v>
      </c>
      <c r="L22" s="13">
        <v>46252</v>
      </c>
    </row>
    <row r="23" ht="58" customHeight="1" spans="1:12">
      <c r="A23" s="11">
        <v>22</v>
      </c>
      <c r="B23" s="12" t="s">
        <v>211</v>
      </c>
      <c r="C23" s="12" t="s">
        <v>212</v>
      </c>
      <c r="D23" s="12" t="s">
        <v>213</v>
      </c>
      <c r="E23" s="12" t="s">
        <v>214</v>
      </c>
      <c r="F23" s="12" t="s">
        <v>215</v>
      </c>
      <c r="G23" s="12" t="s">
        <v>216</v>
      </c>
      <c r="H23" s="12" t="s">
        <v>21</v>
      </c>
      <c r="I23" s="12" t="s">
        <v>208</v>
      </c>
      <c r="J23" s="12" t="s">
        <v>217</v>
      </c>
      <c r="K23" s="12" t="s">
        <v>80</v>
      </c>
      <c r="L23" s="13">
        <v>46252</v>
      </c>
    </row>
    <row r="24" ht="58" customHeight="1" spans="1:12">
      <c r="A24" s="11">
        <v>23</v>
      </c>
      <c r="B24" s="12" t="s">
        <v>218</v>
      </c>
      <c r="C24" s="12" t="s">
        <v>96</v>
      </c>
      <c r="D24" s="12" t="s">
        <v>219</v>
      </c>
      <c r="E24" s="12" t="s">
        <v>220</v>
      </c>
      <c r="F24" s="12" t="s">
        <v>221</v>
      </c>
      <c r="G24" s="12" t="s">
        <v>222</v>
      </c>
      <c r="H24" s="12" t="s">
        <v>21</v>
      </c>
      <c r="I24" s="12" t="s">
        <v>208</v>
      </c>
      <c r="J24" s="12" t="s">
        <v>93</v>
      </c>
      <c r="K24" s="12" t="s">
        <v>223</v>
      </c>
      <c r="L24" s="13">
        <v>46252</v>
      </c>
    </row>
    <row r="25" ht="58" customHeight="1" spans="1:12">
      <c r="A25" s="11">
        <v>24</v>
      </c>
      <c r="B25" s="12" t="s">
        <v>224</v>
      </c>
      <c r="C25" s="12" t="s">
        <v>225</v>
      </c>
      <c r="D25" s="12" t="s">
        <v>226</v>
      </c>
      <c r="E25" s="12" t="s">
        <v>227</v>
      </c>
      <c r="F25" s="12" t="s">
        <v>228</v>
      </c>
      <c r="G25" s="12" t="s">
        <v>229</v>
      </c>
      <c r="H25" s="12" t="s">
        <v>21</v>
      </c>
      <c r="I25" s="12" t="s">
        <v>208</v>
      </c>
      <c r="J25" s="12" t="s">
        <v>93</v>
      </c>
      <c r="K25" s="12" t="s">
        <v>94</v>
      </c>
      <c r="L25" s="13">
        <v>46252</v>
      </c>
    </row>
    <row r="26" ht="58" customHeight="1" spans="1:12">
      <c r="A26" s="11">
        <v>25</v>
      </c>
      <c r="B26" s="12" t="s">
        <v>230</v>
      </c>
      <c r="C26" s="12" t="s">
        <v>231</v>
      </c>
      <c r="D26" s="12" t="s">
        <v>232</v>
      </c>
      <c r="E26" s="12" t="s">
        <v>233</v>
      </c>
      <c r="F26" s="12" t="s">
        <v>234</v>
      </c>
      <c r="G26" s="12" t="s">
        <v>235</v>
      </c>
      <c r="H26" s="12" t="s">
        <v>21</v>
      </c>
      <c r="I26" s="12" t="s">
        <v>208</v>
      </c>
      <c r="J26" s="12" t="s">
        <v>236</v>
      </c>
      <c r="K26" s="12" t="s">
        <v>94</v>
      </c>
      <c r="L26" s="13">
        <v>46252</v>
      </c>
    </row>
    <row r="27" ht="58" customHeight="1" spans="1:12">
      <c r="A27" s="11">
        <v>26</v>
      </c>
      <c r="B27" s="12" t="s">
        <v>237</v>
      </c>
      <c r="C27" s="12" t="s">
        <v>238</v>
      </c>
      <c r="D27" s="12" t="s">
        <v>239</v>
      </c>
      <c r="E27" s="12" t="s">
        <v>240</v>
      </c>
      <c r="F27" s="12" t="s">
        <v>77</v>
      </c>
      <c r="G27" s="12" t="s">
        <v>241</v>
      </c>
      <c r="H27" s="12" t="s">
        <v>21</v>
      </c>
      <c r="I27" s="12" t="s">
        <v>208</v>
      </c>
      <c r="J27" s="12" t="s">
        <v>202</v>
      </c>
      <c r="K27" s="12" t="s">
        <v>80</v>
      </c>
      <c r="L27" s="13">
        <v>46252</v>
      </c>
    </row>
    <row r="28" ht="58" customHeight="1" spans="1:12">
      <c r="A28" s="11">
        <v>27</v>
      </c>
      <c r="B28" s="12" t="s">
        <v>242</v>
      </c>
      <c r="C28" s="12" t="s">
        <v>243</v>
      </c>
      <c r="D28" s="12" t="s">
        <v>244</v>
      </c>
      <c r="E28" s="12" t="s">
        <v>245</v>
      </c>
      <c r="F28" s="12" t="s">
        <v>246</v>
      </c>
      <c r="G28" s="12" t="s">
        <v>247</v>
      </c>
      <c r="H28" s="12" t="s">
        <v>21</v>
      </c>
      <c r="I28" s="12" t="s">
        <v>208</v>
      </c>
      <c r="J28" s="12" t="s">
        <v>93</v>
      </c>
      <c r="K28" s="12" t="s">
        <v>248</v>
      </c>
      <c r="L28" s="13">
        <v>46252</v>
      </c>
    </row>
    <row r="29" ht="58" customHeight="1" spans="1:12">
      <c r="A29" s="11">
        <v>28</v>
      </c>
      <c r="B29" s="12" t="s">
        <v>249</v>
      </c>
      <c r="C29" s="12" t="s">
        <v>250</v>
      </c>
      <c r="D29" s="12" t="s">
        <v>251</v>
      </c>
      <c r="E29" s="12" t="s">
        <v>252</v>
      </c>
      <c r="F29" s="12" t="s">
        <v>215</v>
      </c>
      <c r="G29" s="12" t="s">
        <v>253</v>
      </c>
      <c r="H29" s="12" t="s">
        <v>22</v>
      </c>
      <c r="I29" s="12" t="s">
        <v>254</v>
      </c>
      <c r="J29" s="12" t="s">
        <v>194</v>
      </c>
      <c r="K29" s="12" t="s">
        <v>255</v>
      </c>
      <c r="L29" s="13">
        <v>46252</v>
      </c>
    </row>
    <row r="30" ht="58" customHeight="1" spans="1:12">
      <c r="A30" s="11">
        <v>29</v>
      </c>
      <c r="B30" s="12" t="s">
        <v>256</v>
      </c>
      <c r="C30" s="12" t="s">
        <v>257</v>
      </c>
      <c r="D30" s="12" t="s">
        <v>258</v>
      </c>
      <c r="E30" s="12" t="s">
        <v>259</v>
      </c>
      <c r="F30" s="12" t="s">
        <v>215</v>
      </c>
      <c r="G30" s="12" t="s">
        <v>260</v>
      </c>
      <c r="H30" s="12" t="s">
        <v>25</v>
      </c>
      <c r="I30" s="12" t="s">
        <v>261</v>
      </c>
      <c r="J30" s="12" t="s">
        <v>262</v>
      </c>
      <c r="K30" s="12" t="s">
        <v>263</v>
      </c>
      <c r="L30" s="13">
        <v>46252</v>
      </c>
    </row>
    <row r="31" ht="58" customHeight="1" spans="1:12">
      <c r="A31" s="11">
        <v>30</v>
      </c>
      <c r="B31" s="12" t="s">
        <v>264</v>
      </c>
      <c r="C31" s="12" t="s">
        <v>265</v>
      </c>
      <c r="D31" s="12" t="s">
        <v>266</v>
      </c>
      <c r="E31" s="12" t="s">
        <v>267</v>
      </c>
      <c r="F31" s="12" t="s">
        <v>215</v>
      </c>
      <c r="G31" s="12" t="s">
        <v>268</v>
      </c>
      <c r="H31" s="12" t="s">
        <v>28</v>
      </c>
      <c r="I31" s="12" t="s">
        <v>269</v>
      </c>
      <c r="J31" s="12" t="s">
        <v>270</v>
      </c>
      <c r="K31" s="12" t="s">
        <v>271</v>
      </c>
      <c r="L31" s="13">
        <v>46252</v>
      </c>
    </row>
    <row r="32" ht="58" customHeight="1" spans="1:12">
      <c r="A32" s="11">
        <v>31</v>
      </c>
      <c r="B32" s="12" t="s">
        <v>272</v>
      </c>
      <c r="C32" s="12" t="s">
        <v>149</v>
      </c>
      <c r="D32" s="12" t="s">
        <v>273</v>
      </c>
      <c r="E32" s="12" t="s">
        <v>227</v>
      </c>
      <c r="F32" s="12" t="s">
        <v>274</v>
      </c>
      <c r="G32" s="12" t="s">
        <v>275</v>
      </c>
      <c r="H32" s="12" t="s">
        <v>28</v>
      </c>
      <c r="I32" s="12" t="s">
        <v>269</v>
      </c>
      <c r="J32" s="12" t="s">
        <v>93</v>
      </c>
      <c r="K32" s="12" t="s">
        <v>276</v>
      </c>
      <c r="L32" s="13">
        <v>46252</v>
      </c>
    </row>
    <row r="33" ht="58" customHeight="1" spans="1:12">
      <c r="A33" s="11">
        <v>32</v>
      </c>
      <c r="B33" s="12" t="s">
        <v>277</v>
      </c>
      <c r="C33" s="12" t="s">
        <v>278</v>
      </c>
      <c r="D33" s="12" t="s">
        <v>279</v>
      </c>
      <c r="E33" s="12" t="s">
        <v>280</v>
      </c>
      <c r="F33" s="12" t="s">
        <v>281</v>
      </c>
      <c r="G33" s="12" t="s">
        <v>282</v>
      </c>
      <c r="H33" s="12" t="s">
        <v>28</v>
      </c>
      <c r="I33" s="12" t="s">
        <v>269</v>
      </c>
      <c r="J33" s="12" t="s">
        <v>93</v>
      </c>
      <c r="K33" s="12" t="s">
        <v>94</v>
      </c>
      <c r="L33" s="13">
        <v>46252</v>
      </c>
    </row>
    <row r="34" ht="58" customHeight="1" spans="1:12">
      <c r="A34" s="11">
        <v>33</v>
      </c>
      <c r="B34" s="12" t="s">
        <v>283</v>
      </c>
      <c r="C34" s="12" t="s">
        <v>284</v>
      </c>
      <c r="D34" s="12" t="s">
        <v>285</v>
      </c>
      <c r="E34" s="12" t="s">
        <v>286</v>
      </c>
      <c r="F34" s="12" t="s">
        <v>287</v>
      </c>
      <c r="G34" s="12" t="s">
        <v>288</v>
      </c>
      <c r="H34" s="12" t="s">
        <v>28</v>
      </c>
      <c r="I34" s="12" t="s">
        <v>269</v>
      </c>
      <c r="J34" s="12" t="s">
        <v>93</v>
      </c>
      <c r="K34" s="12" t="s">
        <v>94</v>
      </c>
      <c r="L34" s="13">
        <v>46252</v>
      </c>
    </row>
    <row r="35" ht="58" customHeight="1" spans="1:12">
      <c r="A35" s="11">
        <v>34</v>
      </c>
      <c r="B35" s="12" t="s">
        <v>289</v>
      </c>
      <c r="C35" s="12" t="s">
        <v>290</v>
      </c>
      <c r="D35" s="12" t="s">
        <v>291</v>
      </c>
      <c r="E35" s="12" t="s">
        <v>292</v>
      </c>
      <c r="F35" s="12" t="s">
        <v>77</v>
      </c>
      <c r="G35" s="12" t="s">
        <v>293</v>
      </c>
      <c r="H35" s="12" t="s">
        <v>28</v>
      </c>
      <c r="I35" s="12" t="s">
        <v>269</v>
      </c>
      <c r="J35" s="12" t="s">
        <v>93</v>
      </c>
      <c r="K35" s="12" t="s">
        <v>294</v>
      </c>
      <c r="L35" s="13">
        <v>46252</v>
      </c>
    </row>
    <row r="36" ht="58" customHeight="1" spans="1:12">
      <c r="A36" s="11">
        <v>35</v>
      </c>
      <c r="B36" s="12" t="s">
        <v>295</v>
      </c>
      <c r="C36" s="12" t="s">
        <v>103</v>
      </c>
      <c r="D36" s="12" t="s">
        <v>296</v>
      </c>
      <c r="E36" s="12" t="s">
        <v>227</v>
      </c>
      <c r="F36" s="12" t="s">
        <v>297</v>
      </c>
      <c r="G36" s="12" t="s">
        <v>298</v>
      </c>
      <c r="H36" s="12" t="s">
        <v>28</v>
      </c>
      <c r="I36" s="12" t="s">
        <v>269</v>
      </c>
      <c r="J36" s="12" t="s">
        <v>93</v>
      </c>
      <c r="K36" s="12" t="s">
        <v>94</v>
      </c>
      <c r="L36" s="13">
        <v>46252</v>
      </c>
    </row>
    <row r="37" ht="58" customHeight="1" spans="1:12">
      <c r="A37" s="11">
        <v>36</v>
      </c>
      <c r="B37" s="12" t="s">
        <v>299</v>
      </c>
      <c r="C37" s="12" t="s">
        <v>300</v>
      </c>
      <c r="D37" s="12" t="s">
        <v>301</v>
      </c>
      <c r="E37" s="12" t="s">
        <v>302</v>
      </c>
      <c r="F37" s="12" t="s">
        <v>303</v>
      </c>
      <c r="G37" s="12" t="s">
        <v>304</v>
      </c>
      <c r="H37" s="12" t="s">
        <v>28</v>
      </c>
      <c r="I37" s="12" t="s">
        <v>269</v>
      </c>
      <c r="J37" s="12" t="s">
        <v>93</v>
      </c>
      <c r="K37" s="12" t="s">
        <v>94</v>
      </c>
      <c r="L37" s="13">
        <v>46252</v>
      </c>
    </row>
    <row r="38" ht="58" customHeight="1" spans="1:12">
      <c r="A38" s="11">
        <v>37</v>
      </c>
      <c r="B38" s="12" t="s">
        <v>305</v>
      </c>
      <c r="C38" s="12" t="s">
        <v>306</v>
      </c>
      <c r="D38" s="12" t="s">
        <v>307</v>
      </c>
      <c r="E38" s="12" t="s">
        <v>308</v>
      </c>
      <c r="F38" s="12" t="s">
        <v>309</v>
      </c>
      <c r="G38" s="12" t="s">
        <v>310</v>
      </c>
      <c r="H38" s="12" t="s">
        <v>28</v>
      </c>
      <c r="I38" s="12" t="s">
        <v>269</v>
      </c>
      <c r="J38" s="12" t="s">
        <v>93</v>
      </c>
      <c r="K38" s="12" t="s">
        <v>94</v>
      </c>
      <c r="L38" s="13">
        <v>46252</v>
      </c>
    </row>
    <row r="39" ht="58" customHeight="1" spans="1:12">
      <c r="A39" s="11">
        <v>38</v>
      </c>
      <c r="B39" s="12" t="s">
        <v>311</v>
      </c>
      <c r="C39" s="12" t="s">
        <v>103</v>
      </c>
      <c r="D39" s="12" t="s">
        <v>312</v>
      </c>
      <c r="E39" s="12" t="s">
        <v>313</v>
      </c>
      <c r="F39" s="12" t="s">
        <v>314</v>
      </c>
      <c r="G39" s="12" t="s">
        <v>315</v>
      </c>
      <c r="H39" s="12" t="s">
        <v>28</v>
      </c>
      <c r="I39" s="12" t="s">
        <v>269</v>
      </c>
      <c r="J39" s="12" t="s">
        <v>93</v>
      </c>
      <c r="K39" s="12" t="s">
        <v>154</v>
      </c>
      <c r="L39" s="13">
        <v>46252</v>
      </c>
    </row>
    <row r="40" ht="58" customHeight="1" spans="1:12">
      <c r="A40" s="11">
        <v>39</v>
      </c>
      <c r="B40" s="12" t="s">
        <v>316</v>
      </c>
      <c r="C40" s="12" t="s">
        <v>317</v>
      </c>
      <c r="D40" s="12" t="s">
        <v>318</v>
      </c>
      <c r="E40" s="12" t="s">
        <v>319</v>
      </c>
      <c r="F40" s="12" t="s">
        <v>77</v>
      </c>
      <c r="G40" s="12" t="s">
        <v>320</v>
      </c>
      <c r="H40" s="12" t="s">
        <v>28</v>
      </c>
      <c r="I40" s="12" t="s">
        <v>269</v>
      </c>
      <c r="J40" s="12" t="s">
        <v>321</v>
      </c>
      <c r="K40" s="12" t="s">
        <v>80</v>
      </c>
      <c r="L40" s="13">
        <v>46252</v>
      </c>
    </row>
    <row r="41" ht="58" customHeight="1" spans="1:12">
      <c r="A41" s="11">
        <v>40</v>
      </c>
      <c r="B41" s="12" t="s">
        <v>322</v>
      </c>
      <c r="C41" s="12" t="s">
        <v>323</v>
      </c>
      <c r="D41" s="12" t="s">
        <v>324</v>
      </c>
      <c r="E41" s="12" t="s">
        <v>325</v>
      </c>
      <c r="F41" s="12" t="s">
        <v>326</v>
      </c>
      <c r="G41" s="12" t="s">
        <v>327</v>
      </c>
      <c r="H41" s="12" t="s">
        <v>28</v>
      </c>
      <c r="I41" s="12" t="s">
        <v>269</v>
      </c>
      <c r="J41" s="12" t="s">
        <v>93</v>
      </c>
      <c r="K41" s="12" t="s">
        <v>94</v>
      </c>
      <c r="L41" s="13">
        <v>46252</v>
      </c>
    </row>
    <row r="42" ht="58" customHeight="1" spans="1:12">
      <c r="A42" s="11">
        <v>41</v>
      </c>
      <c r="B42" s="12" t="s">
        <v>328</v>
      </c>
      <c r="C42" s="12" t="s">
        <v>329</v>
      </c>
      <c r="D42" s="12" t="s">
        <v>330</v>
      </c>
      <c r="E42" s="12" t="s">
        <v>331</v>
      </c>
      <c r="F42" s="12" t="s">
        <v>77</v>
      </c>
      <c r="G42" s="12" t="s">
        <v>332</v>
      </c>
      <c r="H42" s="12" t="s">
        <v>28</v>
      </c>
      <c r="I42" s="12" t="s">
        <v>269</v>
      </c>
      <c r="J42" s="12" t="s">
        <v>93</v>
      </c>
      <c r="K42" s="12" t="s">
        <v>333</v>
      </c>
      <c r="L42" s="13">
        <v>46252</v>
      </c>
    </row>
    <row r="43" ht="58" customHeight="1" spans="1:12">
      <c r="A43" s="11">
        <v>42</v>
      </c>
      <c r="B43" s="12" t="s">
        <v>334</v>
      </c>
      <c r="C43" s="12" t="s">
        <v>103</v>
      </c>
      <c r="D43" s="12" t="s">
        <v>335</v>
      </c>
      <c r="E43" s="12" t="s">
        <v>336</v>
      </c>
      <c r="F43" s="12" t="s">
        <v>337</v>
      </c>
      <c r="G43" s="12" t="s">
        <v>338</v>
      </c>
      <c r="H43" s="12" t="s">
        <v>28</v>
      </c>
      <c r="I43" s="12" t="s">
        <v>269</v>
      </c>
      <c r="J43" s="12" t="s">
        <v>93</v>
      </c>
      <c r="K43" s="12" t="s">
        <v>339</v>
      </c>
      <c r="L43" s="13">
        <v>46252</v>
      </c>
    </row>
    <row r="44" ht="58" customHeight="1" spans="1:12">
      <c r="A44" s="11">
        <v>43</v>
      </c>
      <c r="B44" s="12" t="s">
        <v>340</v>
      </c>
      <c r="C44" s="12" t="s">
        <v>341</v>
      </c>
      <c r="D44" s="12" t="s">
        <v>342</v>
      </c>
      <c r="E44" s="12" t="s">
        <v>343</v>
      </c>
      <c r="F44" s="12" t="s">
        <v>215</v>
      </c>
      <c r="G44" s="12" t="s">
        <v>344</v>
      </c>
      <c r="H44" s="12" t="s">
        <v>28</v>
      </c>
      <c r="I44" s="12" t="s">
        <v>269</v>
      </c>
      <c r="J44" s="12" t="s">
        <v>270</v>
      </c>
      <c r="K44" s="12" t="s">
        <v>345</v>
      </c>
      <c r="L44" s="13">
        <v>46252</v>
      </c>
    </row>
    <row r="45" ht="58" customHeight="1" spans="1:12">
      <c r="A45" s="11">
        <v>44</v>
      </c>
      <c r="B45" s="12" t="s">
        <v>346</v>
      </c>
      <c r="C45" s="12" t="s">
        <v>347</v>
      </c>
      <c r="D45" s="12" t="s">
        <v>348</v>
      </c>
      <c r="E45" s="12" t="s">
        <v>349</v>
      </c>
      <c r="F45" s="12" t="s">
        <v>350</v>
      </c>
      <c r="G45" s="12" t="s">
        <v>351</v>
      </c>
      <c r="H45" s="12" t="s">
        <v>28</v>
      </c>
      <c r="I45" s="12" t="s">
        <v>269</v>
      </c>
      <c r="J45" s="12" t="s">
        <v>93</v>
      </c>
      <c r="K45" s="12" t="s">
        <v>94</v>
      </c>
      <c r="L45" s="13">
        <v>46252</v>
      </c>
    </row>
    <row r="46" ht="58" customHeight="1" spans="1:12">
      <c r="A46" s="11">
        <v>45</v>
      </c>
      <c r="B46" s="12" t="s">
        <v>352</v>
      </c>
      <c r="C46" s="12" t="s">
        <v>96</v>
      </c>
      <c r="D46" s="12" t="s">
        <v>353</v>
      </c>
      <c r="E46" s="12" t="s">
        <v>354</v>
      </c>
      <c r="F46" s="12" t="s">
        <v>355</v>
      </c>
      <c r="G46" s="12" t="s">
        <v>356</v>
      </c>
      <c r="H46" s="12" t="s">
        <v>28</v>
      </c>
      <c r="I46" s="12" t="s">
        <v>269</v>
      </c>
      <c r="J46" s="12" t="s">
        <v>93</v>
      </c>
      <c r="K46" s="12" t="s">
        <v>357</v>
      </c>
      <c r="L46" s="13">
        <v>46252</v>
      </c>
    </row>
    <row r="47" ht="58" customHeight="1" spans="1:12">
      <c r="A47" s="11">
        <v>46</v>
      </c>
      <c r="B47" s="12" t="s">
        <v>358</v>
      </c>
      <c r="C47" s="12" t="s">
        <v>359</v>
      </c>
      <c r="D47" s="12" t="s">
        <v>360</v>
      </c>
      <c r="E47" s="12" t="s">
        <v>361</v>
      </c>
      <c r="F47" s="12" t="s">
        <v>77</v>
      </c>
      <c r="G47" s="12" t="s">
        <v>362</v>
      </c>
      <c r="H47" s="12" t="s">
        <v>28</v>
      </c>
      <c r="I47" s="12" t="s">
        <v>269</v>
      </c>
      <c r="J47" s="12" t="s">
        <v>363</v>
      </c>
      <c r="K47" s="12" t="s">
        <v>364</v>
      </c>
      <c r="L47" s="13">
        <v>46252</v>
      </c>
    </row>
    <row r="48" ht="58" customHeight="1" spans="1:12">
      <c r="A48" s="11">
        <v>47</v>
      </c>
      <c r="B48" s="12" t="s">
        <v>365</v>
      </c>
      <c r="C48" s="12" t="s">
        <v>366</v>
      </c>
      <c r="D48" s="12" t="s">
        <v>367</v>
      </c>
      <c r="E48" s="12" t="s">
        <v>368</v>
      </c>
      <c r="F48" s="12" t="s">
        <v>77</v>
      </c>
      <c r="G48" s="12" t="s">
        <v>369</v>
      </c>
      <c r="H48" s="12" t="s">
        <v>28</v>
      </c>
      <c r="I48" s="12" t="s">
        <v>269</v>
      </c>
      <c r="J48" s="12" t="s">
        <v>370</v>
      </c>
      <c r="K48" s="12" t="s">
        <v>80</v>
      </c>
      <c r="L48" s="13">
        <v>46252</v>
      </c>
    </row>
    <row r="49" ht="58" customHeight="1" spans="1:12">
      <c r="A49" s="11">
        <v>48</v>
      </c>
      <c r="B49" s="12" t="s">
        <v>371</v>
      </c>
      <c r="C49" s="12" t="s">
        <v>372</v>
      </c>
      <c r="D49" s="12" t="s">
        <v>373</v>
      </c>
      <c r="E49" s="12" t="s">
        <v>374</v>
      </c>
      <c r="F49" s="12" t="s">
        <v>375</v>
      </c>
      <c r="G49" s="12" t="s">
        <v>376</v>
      </c>
      <c r="H49" s="12" t="s">
        <v>28</v>
      </c>
      <c r="I49" s="12" t="s">
        <v>269</v>
      </c>
      <c r="J49" s="12" t="s">
        <v>93</v>
      </c>
      <c r="K49" s="12" t="s">
        <v>154</v>
      </c>
      <c r="L49" s="13">
        <v>46252</v>
      </c>
    </row>
    <row r="50" ht="58" customHeight="1" spans="1:12">
      <c r="A50" s="11">
        <v>49</v>
      </c>
      <c r="B50" s="12" t="s">
        <v>377</v>
      </c>
      <c r="C50" s="12" t="s">
        <v>378</v>
      </c>
      <c r="D50" s="12" t="s">
        <v>379</v>
      </c>
      <c r="E50" s="12" t="s">
        <v>380</v>
      </c>
      <c r="F50" s="12" t="s">
        <v>381</v>
      </c>
      <c r="G50" s="12" t="s">
        <v>382</v>
      </c>
      <c r="H50" s="12" t="s">
        <v>28</v>
      </c>
      <c r="I50" s="12" t="s">
        <v>269</v>
      </c>
      <c r="J50" s="12" t="s">
        <v>383</v>
      </c>
      <c r="K50" s="12" t="s">
        <v>384</v>
      </c>
      <c r="L50" s="13">
        <v>46252</v>
      </c>
    </row>
    <row r="51" ht="58" customHeight="1" spans="1:12">
      <c r="A51" s="11">
        <v>50</v>
      </c>
      <c r="B51" s="12" t="s">
        <v>385</v>
      </c>
      <c r="C51" s="12" t="s">
        <v>386</v>
      </c>
      <c r="D51" s="12" t="s">
        <v>387</v>
      </c>
      <c r="E51" s="12" t="s">
        <v>388</v>
      </c>
      <c r="F51" s="12" t="s">
        <v>389</v>
      </c>
      <c r="G51" s="12" t="s">
        <v>390</v>
      </c>
      <c r="H51" s="12" t="s">
        <v>28</v>
      </c>
      <c r="I51" s="12" t="s">
        <v>269</v>
      </c>
      <c r="J51" s="12" t="s">
        <v>71</v>
      </c>
      <c r="K51" s="12" t="s">
        <v>72</v>
      </c>
      <c r="L51" s="13">
        <v>46252</v>
      </c>
    </row>
    <row r="52" ht="58" customHeight="1" spans="1:12">
      <c r="A52" s="11">
        <v>51</v>
      </c>
      <c r="B52" s="12" t="s">
        <v>391</v>
      </c>
      <c r="C52" s="12" t="s">
        <v>392</v>
      </c>
      <c r="D52" s="12" t="s">
        <v>393</v>
      </c>
      <c r="E52" s="12" t="s">
        <v>394</v>
      </c>
      <c r="F52" s="12" t="s">
        <v>395</v>
      </c>
      <c r="G52" s="12" t="s">
        <v>396</v>
      </c>
      <c r="H52" s="12" t="s">
        <v>28</v>
      </c>
      <c r="I52" s="12" t="s">
        <v>269</v>
      </c>
      <c r="J52" s="12" t="s">
        <v>397</v>
      </c>
      <c r="K52" s="12" t="s">
        <v>398</v>
      </c>
      <c r="L52" s="13">
        <v>46252</v>
      </c>
    </row>
    <row r="53" ht="58" customHeight="1" spans="1:12">
      <c r="A53" s="11">
        <v>52</v>
      </c>
      <c r="B53" s="12" t="s">
        <v>399</v>
      </c>
      <c r="C53" s="12" t="s">
        <v>103</v>
      </c>
      <c r="D53" s="12" t="s">
        <v>400</v>
      </c>
      <c r="E53" s="12" t="s">
        <v>401</v>
      </c>
      <c r="F53" s="12" t="s">
        <v>402</v>
      </c>
      <c r="G53" s="12" t="s">
        <v>403</v>
      </c>
      <c r="H53" s="12" t="s">
        <v>28</v>
      </c>
      <c r="I53" s="12" t="s">
        <v>269</v>
      </c>
      <c r="J53" s="12" t="s">
        <v>202</v>
      </c>
      <c r="K53" s="12" t="s">
        <v>404</v>
      </c>
      <c r="L53" s="13">
        <v>46252</v>
      </c>
    </row>
    <row r="54" ht="58" customHeight="1" spans="1:12">
      <c r="A54" s="11">
        <v>53</v>
      </c>
      <c r="B54" s="12" t="s">
        <v>405</v>
      </c>
      <c r="C54" s="12" t="s">
        <v>406</v>
      </c>
      <c r="D54" s="12" t="s">
        <v>407</v>
      </c>
      <c r="E54" s="12" t="s">
        <v>408</v>
      </c>
      <c r="F54" s="12" t="s">
        <v>409</v>
      </c>
      <c r="G54" s="12" t="s">
        <v>410</v>
      </c>
      <c r="H54" s="12" t="s">
        <v>28</v>
      </c>
      <c r="I54" s="12" t="s">
        <v>269</v>
      </c>
      <c r="J54" s="12" t="s">
        <v>71</v>
      </c>
      <c r="K54" s="12" t="s">
        <v>72</v>
      </c>
      <c r="L54" s="13">
        <v>46252</v>
      </c>
    </row>
    <row r="55" ht="58" customHeight="1" spans="1:12">
      <c r="A55" s="11">
        <v>54</v>
      </c>
      <c r="B55" s="12" t="s">
        <v>411</v>
      </c>
      <c r="C55" s="12" t="s">
        <v>412</v>
      </c>
      <c r="D55" s="12" t="s">
        <v>413</v>
      </c>
      <c r="E55" s="12" t="s">
        <v>414</v>
      </c>
      <c r="F55" s="12" t="s">
        <v>77</v>
      </c>
      <c r="G55" s="12" t="s">
        <v>415</v>
      </c>
      <c r="H55" s="12" t="s">
        <v>28</v>
      </c>
      <c r="I55" s="12" t="s">
        <v>269</v>
      </c>
      <c r="J55" s="12" t="s">
        <v>270</v>
      </c>
      <c r="K55" s="12" t="s">
        <v>416</v>
      </c>
      <c r="L55" s="13">
        <v>46252</v>
      </c>
    </row>
    <row r="56" ht="58" customHeight="1" spans="1:12">
      <c r="A56" s="11">
        <v>55</v>
      </c>
      <c r="B56" s="12" t="s">
        <v>417</v>
      </c>
      <c r="C56" s="12" t="s">
        <v>418</v>
      </c>
      <c r="D56" s="12" t="s">
        <v>419</v>
      </c>
      <c r="E56" s="12" t="s">
        <v>420</v>
      </c>
      <c r="F56" s="12" t="s">
        <v>421</v>
      </c>
      <c r="G56" s="12" t="s">
        <v>422</v>
      </c>
      <c r="H56" s="12" t="s">
        <v>29</v>
      </c>
      <c r="I56" s="12" t="s">
        <v>423</v>
      </c>
      <c r="J56" s="12" t="s">
        <v>93</v>
      </c>
      <c r="K56" s="12" t="s">
        <v>424</v>
      </c>
      <c r="L56" s="13">
        <v>46252</v>
      </c>
    </row>
    <row r="57" ht="58" customHeight="1" spans="1:12">
      <c r="A57" s="11">
        <v>56</v>
      </c>
      <c r="B57" s="12" t="s">
        <v>425</v>
      </c>
      <c r="C57" s="12" t="s">
        <v>426</v>
      </c>
      <c r="D57" s="12" t="s">
        <v>427</v>
      </c>
      <c r="E57" s="12" t="s">
        <v>428</v>
      </c>
      <c r="F57" s="12" t="s">
        <v>429</v>
      </c>
      <c r="G57" s="12" t="s">
        <v>430</v>
      </c>
      <c r="H57" s="12" t="s">
        <v>29</v>
      </c>
      <c r="I57" s="12" t="s">
        <v>423</v>
      </c>
      <c r="J57" s="12" t="s">
        <v>93</v>
      </c>
      <c r="K57" s="12" t="s">
        <v>94</v>
      </c>
      <c r="L57" s="13">
        <v>46252</v>
      </c>
    </row>
    <row r="58" ht="58" customHeight="1" spans="1:12">
      <c r="A58" s="11">
        <v>57</v>
      </c>
      <c r="B58" s="12" t="s">
        <v>431</v>
      </c>
      <c r="C58" s="12" t="s">
        <v>432</v>
      </c>
      <c r="D58" s="12" t="s">
        <v>433</v>
      </c>
      <c r="E58" s="12" t="s">
        <v>434</v>
      </c>
      <c r="F58" s="12" t="s">
        <v>435</v>
      </c>
      <c r="G58" s="12" t="s">
        <v>436</v>
      </c>
      <c r="H58" s="12" t="s">
        <v>29</v>
      </c>
      <c r="I58" s="12" t="s">
        <v>423</v>
      </c>
      <c r="J58" s="12" t="s">
        <v>437</v>
      </c>
      <c r="K58" s="12" t="s">
        <v>438</v>
      </c>
      <c r="L58" s="13">
        <v>46252</v>
      </c>
    </row>
    <row r="59" ht="58" customHeight="1" spans="1:12">
      <c r="A59" s="11">
        <v>58</v>
      </c>
      <c r="B59" s="12" t="s">
        <v>439</v>
      </c>
      <c r="C59" s="12" t="s">
        <v>440</v>
      </c>
      <c r="D59" s="12" t="s">
        <v>441</v>
      </c>
      <c r="E59" s="12" t="s">
        <v>280</v>
      </c>
      <c r="F59" s="12" t="s">
        <v>215</v>
      </c>
      <c r="G59" s="12" t="s">
        <v>442</v>
      </c>
      <c r="H59" s="12" t="s">
        <v>29</v>
      </c>
      <c r="I59" s="12" t="s">
        <v>423</v>
      </c>
      <c r="J59" s="12" t="s">
        <v>93</v>
      </c>
      <c r="K59" s="12" t="s">
        <v>443</v>
      </c>
      <c r="L59" s="13">
        <v>46252</v>
      </c>
    </row>
    <row r="60" ht="58" customHeight="1" spans="1:12">
      <c r="A60" s="11">
        <v>59</v>
      </c>
      <c r="B60" s="12" t="s">
        <v>444</v>
      </c>
      <c r="C60" s="12" t="s">
        <v>445</v>
      </c>
      <c r="D60" s="12" t="s">
        <v>446</v>
      </c>
      <c r="E60" s="12" t="s">
        <v>447</v>
      </c>
      <c r="F60" s="12" t="s">
        <v>77</v>
      </c>
      <c r="G60" s="12" t="s">
        <v>448</v>
      </c>
      <c r="H60" s="12" t="s">
        <v>29</v>
      </c>
      <c r="I60" s="12" t="s">
        <v>449</v>
      </c>
      <c r="J60" s="12" t="s">
        <v>202</v>
      </c>
      <c r="K60" s="12" t="s">
        <v>450</v>
      </c>
      <c r="L60" s="13">
        <v>46252</v>
      </c>
    </row>
    <row r="61" ht="58" customHeight="1" spans="1:12">
      <c r="A61" s="11">
        <v>60</v>
      </c>
      <c r="B61" s="12" t="s">
        <v>451</v>
      </c>
      <c r="C61" s="12" t="s">
        <v>96</v>
      </c>
      <c r="D61" s="12" t="s">
        <v>452</v>
      </c>
      <c r="E61" s="12" t="s">
        <v>453</v>
      </c>
      <c r="F61" s="12" t="s">
        <v>77</v>
      </c>
      <c r="G61" s="12" t="s">
        <v>454</v>
      </c>
      <c r="H61" s="12" t="s">
        <v>29</v>
      </c>
      <c r="I61" s="12" t="s">
        <v>455</v>
      </c>
      <c r="J61" s="12" t="s">
        <v>93</v>
      </c>
      <c r="K61" s="12" t="s">
        <v>456</v>
      </c>
      <c r="L61" s="13">
        <v>46252</v>
      </c>
    </row>
    <row r="62" ht="58" customHeight="1" spans="1:12">
      <c r="A62" s="11">
        <v>61</v>
      </c>
      <c r="B62" s="12" t="s">
        <v>457</v>
      </c>
      <c r="C62" s="12" t="s">
        <v>458</v>
      </c>
      <c r="D62" s="12" t="s">
        <v>459</v>
      </c>
      <c r="E62" s="12" t="s">
        <v>460</v>
      </c>
      <c r="F62" s="12" t="s">
        <v>461</v>
      </c>
      <c r="G62" s="12" t="s">
        <v>462</v>
      </c>
      <c r="H62" s="12" t="s">
        <v>29</v>
      </c>
      <c r="I62" s="12" t="s">
        <v>463</v>
      </c>
      <c r="J62" s="12" t="s">
        <v>71</v>
      </c>
      <c r="K62" s="12" t="s">
        <v>464</v>
      </c>
      <c r="L62" s="13">
        <v>46252</v>
      </c>
    </row>
    <row r="63" ht="58" customHeight="1" spans="1:12">
      <c r="A63" s="11">
        <v>62</v>
      </c>
      <c r="B63" s="12" t="s">
        <v>465</v>
      </c>
      <c r="C63" s="12" t="s">
        <v>466</v>
      </c>
      <c r="D63" s="12" t="s">
        <v>467</v>
      </c>
      <c r="E63" s="12" t="s">
        <v>468</v>
      </c>
      <c r="F63" s="12" t="s">
        <v>77</v>
      </c>
      <c r="G63" s="12" t="s">
        <v>469</v>
      </c>
      <c r="H63" s="12" t="s">
        <v>29</v>
      </c>
      <c r="I63" s="12" t="s">
        <v>470</v>
      </c>
      <c r="J63" s="12" t="s">
        <v>79</v>
      </c>
      <c r="K63" s="12" t="s">
        <v>80</v>
      </c>
      <c r="L63" s="13">
        <v>46252</v>
      </c>
    </row>
    <row r="64" ht="58" customHeight="1" spans="1:12">
      <c r="A64" s="11">
        <v>63</v>
      </c>
      <c r="B64" s="12" t="s">
        <v>471</v>
      </c>
      <c r="C64" s="12" t="s">
        <v>472</v>
      </c>
      <c r="D64" s="12" t="s">
        <v>473</v>
      </c>
      <c r="E64" s="12" t="s">
        <v>474</v>
      </c>
      <c r="F64" s="12" t="s">
        <v>215</v>
      </c>
      <c r="G64" s="12" t="s">
        <v>475</v>
      </c>
      <c r="H64" s="12" t="s">
        <v>29</v>
      </c>
      <c r="I64" s="12" t="s">
        <v>455</v>
      </c>
      <c r="J64" s="12" t="s">
        <v>476</v>
      </c>
      <c r="K64" s="12" t="s">
        <v>80</v>
      </c>
      <c r="L64" s="13">
        <v>46252</v>
      </c>
    </row>
    <row r="65" ht="58" customHeight="1" spans="1:12">
      <c r="A65" s="11">
        <v>64</v>
      </c>
      <c r="B65" s="12" t="s">
        <v>477</v>
      </c>
      <c r="C65" s="12" t="s">
        <v>478</v>
      </c>
      <c r="D65" s="12" t="s">
        <v>479</v>
      </c>
      <c r="E65" s="12" t="s">
        <v>480</v>
      </c>
      <c r="F65" s="12" t="s">
        <v>481</v>
      </c>
      <c r="G65" s="12" t="s">
        <v>482</v>
      </c>
      <c r="H65" s="12" t="s">
        <v>29</v>
      </c>
      <c r="I65" s="12" t="s">
        <v>483</v>
      </c>
      <c r="J65" s="12" t="s">
        <v>202</v>
      </c>
      <c r="K65" s="12" t="s">
        <v>94</v>
      </c>
      <c r="L65" s="13">
        <v>46252</v>
      </c>
    </row>
    <row r="66" ht="58" customHeight="1" spans="1:12">
      <c r="A66" s="11">
        <v>65</v>
      </c>
      <c r="B66" s="12" t="s">
        <v>484</v>
      </c>
      <c r="C66" s="12" t="s">
        <v>485</v>
      </c>
      <c r="D66" s="12" t="s">
        <v>486</v>
      </c>
      <c r="E66" s="12" t="s">
        <v>487</v>
      </c>
      <c r="F66" s="12" t="s">
        <v>488</v>
      </c>
      <c r="G66" s="12" t="s">
        <v>489</v>
      </c>
      <c r="H66" s="12" t="s">
        <v>29</v>
      </c>
      <c r="I66" s="12" t="s">
        <v>483</v>
      </c>
      <c r="J66" s="12" t="s">
        <v>437</v>
      </c>
      <c r="K66" s="12" t="s">
        <v>490</v>
      </c>
      <c r="L66" s="13">
        <v>46252</v>
      </c>
    </row>
    <row r="67" ht="58" customHeight="1" spans="1:12">
      <c r="A67" s="11">
        <v>66</v>
      </c>
      <c r="B67" s="12" t="s">
        <v>491</v>
      </c>
      <c r="C67" s="12" t="s">
        <v>492</v>
      </c>
      <c r="D67" s="12" t="s">
        <v>493</v>
      </c>
      <c r="E67" s="12" t="s">
        <v>494</v>
      </c>
      <c r="F67" s="12" t="s">
        <v>77</v>
      </c>
      <c r="G67" s="12" t="s">
        <v>495</v>
      </c>
      <c r="H67" s="12" t="s">
        <v>29</v>
      </c>
      <c r="I67" s="12" t="s">
        <v>483</v>
      </c>
      <c r="J67" s="12" t="s">
        <v>79</v>
      </c>
      <c r="K67" s="12" t="s">
        <v>496</v>
      </c>
      <c r="L67" s="13">
        <v>46252</v>
      </c>
    </row>
    <row r="68" ht="58" customHeight="1" spans="1:12">
      <c r="A68" s="11">
        <v>67</v>
      </c>
      <c r="B68" s="12" t="s">
        <v>497</v>
      </c>
      <c r="C68" s="12" t="s">
        <v>498</v>
      </c>
      <c r="D68" s="12" t="s">
        <v>499</v>
      </c>
      <c r="E68" s="12" t="s">
        <v>500</v>
      </c>
      <c r="F68" s="12" t="s">
        <v>215</v>
      </c>
      <c r="G68" s="12" t="s">
        <v>501</v>
      </c>
      <c r="H68" s="12" t="s">
        <v>29</v>
      </c>
      <c r="I68" s="12" t="s">
        <v>502</v>
      </c>
      <c r="J68" s="12" t="s">
        <v>503</v>
      </c>
      <c r="K68" s="12" t="s">
        <v>80</v>
      </c>
      <c r="L68" s="13">
        <v>46252</v>
      </c>
    </row>
    <row r="69" ht="58" customHeight="1" spans="1:12">
      <c r="A69" s="11">
        <v>68</v>
      </c>
      <c r="B69" s="12" t="s">
        <v>504</v>
      </c>
      <c r="C69" s="12" t="s">
        <v>505</v>
      </c>
      <c r="D69" s="12" t="s">
        <v>506</v>
      </c>
      <c r="E69" s="12" t="s">
        <v>507</v>
      </c>
      <c r="F69" s="12" t="s">
        <v>508</v>
      </c>
      <c r="G69" s="12" t="s">
        <v>509</v>
      </c>
      <c r="H69" s="12" t="s">
        <v>29</v>
      </c>
      <c r="I69" s="12" t="s">
        <v>449</v>
      </c>
      <c r="J69" s="12" t="s">
        <v>86</v>
      </c>
      <c r="K69" s="12" t="s">
        <v>80</v>
      </c>
      <c r="L69" s="13">
        <v>46252</v>
      </c>
    </row>
    <row r="70" ht="58" customHeight="1" spans="1:12">
      <c r="A70" s="11">
        <v>69</v>
      </c>
      <c r="B70" s="12" t="s">
        <v>510</v>
      </c>
      <c r="C70" s="12" t="s">
        <v>511</v>
      </c>
      <c r="D70" s="12" t="s">
        <v>512</v>
      </c>
      <c r="E70" s="12" t="s">
        <v>280</v>
      </c>
      <c r="F70" s="12" t="s">
        <v>215</v>
      </c>
      <c r="G70" s="12" t="s">
        <v>513</v>
      </c>
      <c r="H70" s="12" t="s">
        <v>29</v>
      </c>
      <c r="I70" s="12" t="s">
        <v>455</v>
      </c>
      <c r="J70" s="12" t="s">
        <v>93</v>
      </c>
      <c r="K70" s="12" t="s">
        <v>443</v>
      </c>
      <c r="L70" s="13">
        <v>46252</v>
      </c>
    </row>
    <row r="71" ht="58" customHeight="1" spans="1:12">
      <c r="A71" s="11">
        <v>70</v>
      </c>
      <c r="B71" s="12" t="s">
        <v>514</v>
      </c>
      <c r="C71" s="12" t="s">
        <v>96</v>
      </c>
      <c r="D71" s="12" t="s">
        <v>515</v>
      </c>
      <c r="E71" s="12" t="s">
        <v>516</v>
      </c>
      <c r="F71" s="12" t="s">
        <v>517</v>
      </c>
      <c r="G71" s="12" t="s">
        <v>518</v>
      </c>
      <c r="H71" s="12" t="s">
        <v>29</v>
      </c>
      <c r="I71" s="12" t="s">
        <v>455</v>
      </c>
      <c r="J71" s="12" t="s">
        <v>93</v>
      </c>
      <c r="K71" s="12" t="s">
        <v>94</v>
      </c>
      <c r="L71" s="13">
        <v>46252</v>
      </c>
    </row>
    <row r="72" ht="58" customHeight="1" spans="1:12">
      <c r="A72" s="11">
        <v>71</v>
      </c>
      <c r="B72" s="12" t="s">
        <v>519</v>
      </c>
      <c r="C72" s="12" t="s">
        <v>323</v>
      </c>
      <c r="D72" s="12" t="s">
        <v>520</v>
      </c>
      <c r="E72" s="12" t="s">
        <v>280</v>
      </c>
      <c r="F72" s="12" t="s">
        <v>215</v>
      </c>
      <c r="G72" s="12" t="s">
        <v>521</v>
      </c>
      <c r="H72" s="12" t="s">
        <v>29</v>
      </c>
      <c r="I72" s="12" t="s">
        <v>455</v>
      </c>
      <c r="J72" s="12" t="s">
        <v>93</v>
      </c>
      <c r="K72" s="12" t="s">
        <v>443</v>
      </c>
      <c r="L72" s="13">
        <v>46252</v>
      </c>
    </row>
    <row r="73" ht="58" customHeight="1" spans="1:12">
      <c r="A73" s="11">
        <v>72</v>
      </c>
      <c r="B73" s="12" t="s">
        <v>522</v>
      </c>
      <c r="C73" s="12" t="s">
        <v>523</v>
      </c>
      <c r="D73" s="12" t="s">
        <v>524</v>
      </c>
      <c r="E73" s="12" t="s">
        <v>525</v>
      </c>
      <c r="F73" s="12" t="s">
        <v>526</v>
      </c>
      <c r="G73" s="12" t="s">
        <v>527</v>
      </c>
      <c r="H73" s="12" t="s">
        <v>29</v>
      </c>
      <c r="I73" s="12" t="s">
        <v>455</v>
      </c>
      <c r="J73" s="12" t="s">
        <v>71</v>
      </c>
      <c r="K73" s="12" t="s">
        <v>528</v>
      </c>
      <c r="L73" s="13">
        <v>46252</v>
      </c>
    </row>
    <row r="74" ht="58" customHeight="1" spans="1:12">
      <c r="A74" s="11">
        <v>73</v>
      </c>
      <c r="B74" s="12" t="s">
        <v>529</v>
      </c>
      <c r="C74" s="12" t="s">
        <v>96</v>
      </c>
      <c r="D74" s="12" t="s">
        <v>530</v>
      </c>
      <c r="E74" s="12" t="s">
        <v>165</v>
      </c>
      <c r="F74" s="12" t="s">
        <v>215</v>
      </c>
      <c r="G74" s="12" t="s">
        <v>531</v>
      </c>
      <c r="H74" s="12" t="s">
        <v>29</v>
      </c>
      <c r="I74" s="12" t="s">
        <v>455</v>
      </c>
      <c r="J74" s="12" t="s">
        <v>93</v>
      </c>
      <c r="K74" s="12" t="s">
        <v>443</v>
      </c>
      <c r="L74" s="13">
        <v>46252</v>
      </c>
    </row>
    <row r="75" ht="58" customHeight="1" spans="1:12">
      <c r="A75" s="11">
        <v>74</v>
      </c>
      <c r="B75" s="12" t="s">
        <v>532</v>
      </c>
      <c r="C75" s="12" t="s">
        <v>533</v>
      </c>
      <c r="D75" s="12" t="s">
        <v>534</v>
      </c>
      <c r="E75" s="12" t="s">
        <v>535</v>
      </c>
      <c r="F75" s="12" t="s">
        <v>77</v>
      </c>
      <c r="G75" s="12" t="s">
        <v>536</v>
      </c>
      <c r="H75" s="12" t="s">
        <v>29</v>
      </c>
      <c r="I75" s="12" t="s">
        <v>455</v>
      </c>
      <c r="J75" s="12" t="s">
        <v>86</v>
      </c>
      <c r="K75" s="12" t="s">
        <v>80</v>
      </c>
      <c r="L75" s="13">
        <v>46252</v>
      </c>
    </row>
    <row r="76" ht="58" customHeight="1" spans="1:12">
      <c r="A76" s="11">
        <v>75</v>
      </c>
      <c r="B76" s="12" t="s">
        <v>537</v>
      </c>
      <c r="C76" s="12" t="s">
        <v>538</v>
      </c>
      <c r="D76" s="12" t="s">
        <v>539</v>
      </c>
      <c r="E76" s="12" t="s">
        <v>540</v>
      </c>
      <c r="F76" s="12" t="s">
        <v>541</v>
      </c>
      <c r="G76" s="12" t="s">
        <v>542</v>
      </c>
      <c r="H76" s="12" t="s">
        <v>29</v>
      </c>
      <c r="I76" s="12" t="s">
        <v>455</v>
      </c>
      <c r="J76" s="12" t="s">
        <v>71</v>
      </c>
      <c r="K76" s="12" t="s">
        <v>174</v>
      </c>
      <c r="L76" s="13">
        <v>46252</v>
      </c>
    </row>
    <row r="77" ht="58" customHeight="1" spans="1:12">
      <c r="A77" s="11">
        <v>76</v>
      </c>
      <c r="B77" s="12" t="s">
        <v>543</v>
      </c>
      <c r="C77" s="12" t="s">
        <v>544</v>
      </c>
      <c r="D77" s="12" t="s">
        <v>545</v>
      </c>
      <c r="E77" s="12" t="s">
        <v>546</v>
      </c>
      <c r="F77" s="12" t="s">
        <v>547</v>
      </c>
      <c r="G77" s="12" t="s">
        <v>548</v>
      </c>
      <c r="H77" s="12" t="s">
        <v>29</v>
      </c>
      <c r="I77" s="12" t="s">
        <v>455</v>
      </c>
      <c r="J77" s="12" t="s">
        <v>71</v>
      </c>
      <c r="K77" s="12" t="s">
        <v>456</v>
      </c>
      <c r="L77" s="13">
        <v>46252</v>
      </c>
    </row>
    <row r="78" ht="58" customHeight="1" spans="1:12">
      <c r="A78" s="11">
        <v>77</v>
      </c>
      <c r="B78" s="12" t="s">
        <v>549</v>
      </c>
      <c r="C78" s="12" t="s">
        <v>550</v>
      </c>
      <c r="D78" s="12" t="s">
        <v>551</v>
      </c>
      <c r="E78" s="12" t="s">
        <v>552</v>
      </c>
      <c r="F78" s="12" t="s">
        <v>77</v>
      </c>
      <c r="G78" s="12" t="s">
        <v>553</v>
      </c>
      <c r="H78" s="12" t="s">
        <v>29</v>
      </c>
      <c r="I78" s="12" t="s">
        <v>455</v>
      </c>
      <c r="J78" s="12" t="s">
        <v>121</v>
      </c>
      <c r="K78" s="12" t="s">
        <v>554</v>
      </c>
      <c r="L78" s="13">
        <v>46252</v>
      </c>
    </row>
    <row r="79" ht="58" customHeight="1" spans="1:12">
      <c r="A79" s="11">
        <v>78</v>
      </c>
      <c r="B79" s="12" t="s">
        <v>555</v>
      </c>
      <c r="C79" s="12" t="s">
        <v>556</v>
      </c>
      <c r="D79" s="12" t="s">
        <v>557</v>
      </c>
      <c r="E79" s="12" t="s">
        <v>558</v>
      </c>
      <c r="F79" s="12" t="s">
        <v>559</v>
      </c>
      <c r="G79" s="12" t="s">
        <v>560</v>
      </c>
      <c r="H79" s="12" t="s">
        <v>29</v>
      </c>
      <c r="I79" s="12" t="s">
        <v>455</v>
      </c>
      <c r="J79" s="12" t="s">
        <v>194</v>
      </c>
      <c r="K79" s="12" t="s">
        <v>561</v>
      </c>
      <c r="L79" s="13">
        <v>46252</v>
      </c>
    </row>
    <row r="80" ht="58" customHeight="1" spans="1:12">
      <c r="A80" s="11">
        <v>79</v>
      </c>
      <c r="B80" s="12" t="s">
        <v>562</v>
      </c>
      <c r="C80" s="12" t="s">
        <v>96</v>
      </c>
      <c r="D80" s="12" t="s">
        <v>563</v>
      </c>
      <c r="E80" s="12" t="s">
        <v>564</v>
      </c>
      <c r="F80" s="12" t="s">
        <v>565</v>
      </c>
      <c r="G80" s="12" t="s">
        <v>566</v>
      </c>
      <c r="H80" s="12" t="s">
        <v>29</v>
      </c>
      <c r="I80" s="12" t="s">
        <v>483</v>
      </c>
      <c r="J80" s="12" t="s">
        <v>93</v>
      </c>
      <c r="K80" s="12" t="s">
        <v>94</v>
      </c>
      <c r="L80" s="13">
        <v>46252</v>
      </c>
    </row>
    <row r="81" ht="58" customHeight="1" spans="1:12">
      <c r="A81" s="11">
        <v>80</v>
      </c>
      <c r="B81" s="12" t="s">
        <v>567</v>
      </c>
      <c r="C81" s="12" t="s">
        <v>568</v>
      </c>
      <c r="D81" s="12" t="s">
        <v>569</v>
      </c>
      <c r="E81" s="12" t="s">
        <v>227</v>
      </c>
      <c r="F81" s="12" t="s">
        <v>570</v>
      </c>
      <c r="G81" s="12" t="s">
        <v>571</v>
      </c>
      <c r="H81" s="12" t="s">
        <v>29</v>
      </c>
      <c r="I81" s="12" t="s">
        <v>483</v>
      </c>
      <c r="J81" s="12" t="s">
        <v>93</v>
      </c>
      <c r="K81" s="12" t="s">
        <v>94</v>
      </c>
      <c r="L81" s="13">
        <v>46252</v>
      </c>
    </row>
    <row r="82" ht="58" customHeight="1" spans="1:12">
      <c r="A82" s="11">
        <v>81</v>
      </c>
      <c r="B82" s="12" t="s">
        <v>572</v>
      </c>
      <c r="C82" s="12" t="s">
        <v>573</v>
      </c>
      <c r="D82" s="12" t="s">
        <v>574</v>
      </c>
      <c r="E82" s="12" t="s">
        <v>575</v>
      </c>
      <c r="F82" s="12" t="s">
        <v>576</v>
      </c>
      <c r="G82" s="12" t="s">
        <v>577</v>
      </c>
      <c r="H82" s="12" t="s">
        <v>29</v>
      </c>
      <c r="I82" s="12" t="s">
        <v>483</v>
      </c>
      <c r="J82" s="12" t="s">
        <v>93</v>
      </c>
      <c r="K82" s="12" t="s">
        <v>94</v>
      </c>
      <c r="L82" s="13">
        <v>46252</v>
      </c>
    </row>
    <row r="83" ht="58" customHeight="1" spans="1:12">
      <c r="A83" s="11">
        <v>82</v>
      </c>
      <c r="B83" s="12" t="s">
        <v>578</v>
      </c>
      <c r="C83" s="12" t="s">
        <v>511</v>
      </c>
      <c r="D83" s="12" t="s">
        <v>579</v>
      </c>
      <c r="E83" s="12" t="s">
        <v>280</v>
      </c>
      <c r="F83" s="12" t="s">
        <v>215</v>
      </c>
      <c r="G83" s="12" t="s">
        <v>580</v>
      </c>
      <c r="H83" s="12" t="s">
        <v>29</v>
      </c>
      <c r="I83" s="12" t="s">
        <v>483</v>
      </c>
      <c r="J83" s="12" t="s">
        <v>93</v>
      </c>
      <c r="K83" s="12" t="s">
        <v>443</v>
      </c>
      <c r="L83" s="13">
        <v>46252</v>
      </c>
    </row>
    <row r="84" ht="58" customHeight="1" spans="1:12">
      <c r="A84" s="11">
        <v>83</v>
      </c>
      <c r="B84" s="12" t="s">
        <v>581</v>
      </c>
      <c r="C84" s="12" t="s">
        <v>582</v>
      </c>
      <c r="D84" s="12" t="s">
        <v>583</v>
      </c>
      <c r="E84" s="12" t="s">
        <v>584</v>
      </c>
      <c r="F84" s="12" t="s">
        <v>77</v>
      </c>
      <c r="G84" s="12" t="s">
        <v>585</v>
      </c>
      <c r="H84" s="12" t="s">
        <v>29</v>
      </c>
      <c r="I84" s="12" t="s">
        <v>586</v>
      </c>
      <c r="J84" s="12" t="s">
        <v>209</v>
      </c>
      <c r="K84" s="12" t="s">
        <v>587</v>
      </c>
      <c r="L84" s="13">
        <v>46252</v>
      </c>
    </row>
    <row r="85" ht="58" customHeight="1" spans="1:12">
      <c r="A85" s="11">
        <v>84</v>
      </c>
      <c r="B85" s="12" t="s">
        <v>588</v>
      </c>
      <c r="C85" s="12" t="s">
        <v>589</v>
      </c>
      <c r="D85" s="12" t="s">
        <v>590</v>
      </c>
      <c r="E85" s="12" t="s">
        <v>591</v>
      </c>
      <c r="F85" s="12" t="s">
        <v>77</v>
      </c>
      <c r="G85" s="12" t="s">
        <v>592</v>
      </c>
      <c r="H85" s="12" t="s">
        <v>29</v>
      </c>
      <c r="I85" s="12" t="s">
        <v>586</v>
      </c>
      <c r="J85" s="12" t="s">
        <v>503</v>
      </c>
      <c r="K85" s="12" t="s">
        <v>80</v>
      </c>
      <c r="L85" s="13">
        <v>46252</v>
      </c>
    </row>
    <row r="86" ht="58" customHeight="1" spans="1:12">
      <c r="A86" s="11">
        <v>85</v>
      </c>
      <c r="B86" s="12" t="s">
        <v>593</v>
      </c>
      <c r="C86" s="12" t="s">
        <v>594</v>
      </c>
      <c r="D86" s="12" t="s">
        <v>595</v>
      </c>
      <c r="E86" s="12" t="s">
        <v>596</v>
      </c>
      <c r="F86" s="12" t="s">
        <v>77</v>
      </c>
      <c r="G86" s="12" t="s">
        <v>597</v>
      </c>
      <c r="H86" s="12" t="s">
        <v>29</v>
      </c>
      <c r="I86" s="12" t="s">
        <v>455</v>
      </c>
      <c r="J86" s="12" t="s">
        <v>79</v>
      </c>
      <c r="K86" s="12" t="s">
        <v>80</v>
      </c>
      <c r="L86" s="13">
        <v>46252</v>
      </c>
    </row>
    <row r="87" ht="58" customHeight="1" spans="1:12">
      <c r="A87" s="11">
        <v>86</v>
      </c>
      <c r="B87" s="12" t="s">
        <v>598</v>
      </c>
      <c r="C87" s="12" t="s">
        <v>103</v>
      </c>
      <c r="D87" s="12" t="s">
        <v>599</v>
      </c>
      <c r="E87" s="12" t="s">
        <v>600</v>
      </c>
      <c r="F87" s="12" t="s">
        <v>601</v>
      </c>
      <c r="G87" s="12" t="s">
        <v>602</v>
      </c>
      <c r="H87" s="12" t="s">
        <v>29</v>
      </c>
      <c r="I87" s="12" t="s">
        <v>455</v>
      </c>
      <c r="J87" s="12" t="s">
        <v>93</v>
      </c>
      <c r="K87" s="12" t="s">
        <v>94</v>
      </c>
      <c r="L87" s="13">
        <v>46252</v>
      </c>
    </row>
    <row r="88" ht="58" customHeight="1" spans="1:12">
      <c r="A88" s="11">
        <v>87</v>
      </c>
      <c r="B88" s="12" t="s">
        <v>603</v>
      </c>
      <c r="C88" s="12" t="s">
        <v>582</v>
      </c>
      <c r="D88" s="12" t="s">
        <v>604</v>
      </c>
      <c r="E88" s="12" t="s">
        <v>605</v>
      </c>
      <c r="F88" s="12" t="s">
        <v>606</v>
      </c>
      <c r="G88" s="12" t="s">
        <v>607</v>
      </c>
      <c r="H88" s="12" t="s">
        <v>30</v>
      </c>
      <c r="I88" s="12" t="s">
        <v>608</v>
      </c>
      <c r="J88" s="12" t="s">
        <v>209</v>
      </c>
      <c r="K88" s="12" t="s">
        <v>80</v>
      </c>
      <c r="L88" s="13">
        <v>46252</v>
      </c>
    </row>
    <row r="89" ht="58" customHeight="1" spans="1:12">
      <c r="A89" s="11">
        <v>88</v>
      </c>
      <c r="B89" s="12" t="s">
        <v>609</v>
      </c>
      <c r="C89" s="12" t="s">
        <v>418</v>
      </c>
      <c r="D89" s="12" t="s">
        <v>610</v>
      </c>
      <c r="E89" s="12" t="s">
        <v>611</v>
      </c>
      <c r="F89" s="12" t="s">
        <v>612</v>
      </c>
      <c r="G89" s="12" t="s">
        <v>613</v>
      </c>
      <c r="H89" s="12" t="s">
        <v>30</v>
      </c>
      <c r="I89" s="12" t="s">
        <v>608</v>
      </c>
      <c r="J89" s="12" t="s">
        <v>93</v>
      </c>
      <c r="K89" s="12" t="s">
        <v>94</v>
      </c>
      <c r="L89" s="13">
        <v>46252</v>
      </c>
    </row>
    <row r="90" ht="58" customHeight="1" spans="1:12">
      <c r="A90" s="11">
        <v>89</v>
      </c>
      <c r="B90" s="12" t="s">
        <v>614</v>
      </c>
      <c r="C90" s="12" t="s">
        <v>615</v>
      </c>
      <c r="D90" s="12" t="s">
        <v>616</v>
      </c>
      <c r="E90" s="12" t="s">
        <v>617</v>
      </c>
      <c r="F90" s="12" t="s">
        <v>618</v>
      </c>
      <c r="G90" s="12" t="s">
        <v>619</v>
      </c>
      <c r="H90" s="12" t="s">
        <v>30</v>
      </c>
      <c r="I90" s="12" t="s">
        <v>620</v>
      </c>
      <c r="J90" s="12" t="s">
        <v>71</v>
      </c>
      <c r="K90" s="12" t="s">
        <v>174</v>
      </c>
      <c r="L90" s="13">
        <v>46252</v>
      </c>
    </row>
    <row r="91" ht="58" customHeight="1" spans="1:12">
      <c r="A91" s="11">
        <v>90</v>
      </c>
      <c r="B91" s="12" t="s">
        <v>621</v>
      </c>
      <c r="C91" s="12" t="s">
        <v>622</v>
      </c>
      <c r="D91" s="12" t="s">
        <v>623</v>
      </c>
      <c r="E91" s="12" t="s">
        <v>624</v>
      </c>
      <c r="F91" s="12" t="s">
        <v>625</v>
      </c>
      <c r="G91" s="12" t="s">
        <v>626</v>
      </c>
      <c r="H91" s="12" t="s">
        <v>30</v>
      </c>
      <c r="I91" s="12" t="s">
        <v>608</v>
      </c>
      <c r="J91" s="12" t="s">
        <v>209</v>
      </c>
      <c r="K91" s="12" t="s">
        <v>554</v>
      </c>
      <c r="L91" s="13">
        <v>46252</v>
      </c>
    </row>
    <row r="92" ht="58" customHeight="1" spans="1:12">
      <c r="A92" s="11">
        <v>91</v>
      </c>
      <c r="B92" s="12" t="s">
        <v>627</v>
      </c>
      <c r="C92" s="12" t="s">
        <v>628</v>
      </c>
      <c r="D92" s="12" t="s">
        <v>629</v>
      </c>
      <c r="E92" s="12" t="s">
        <v>630</v>
      </c>
      <c r="F92" s="12" t="s">
        <v>631</v>
      </c>
      <c r="G92" s="12" t="s">
        <v>632</v>
      </c>
      <c r="H92" s="12" t="s">
        <v>30</v>
      </c>
      <c r="I92" s="12" t="s">
        <v>608</v>
      </c>
      <c r="J92" s="12" t="s">
        <v>93</v>
      </c>
      <c r="K92" s="12" t="s">
        <v>94</v>
      </c>
      <c r="L92" s="13">
        <v>46252</v>
      </c>
    </row>
    <row r="93" ht="58" customHeight="1" spans="1:12">
      <c r="A93" s="11">
        <v>92</v>
      </c>
      <c r="B93" s="12" t="s">
        <v>633</v>
      </c>
      <c r="C93" s="12" t="s">
        <v>96</v>
      </c>
      <c r="D93" s="12" t="s">
        <v>634</v>
      </c>
      <c r="E93" s="12" t="s">
        <v>635</v>
      </c>
      <c r="F93" s="12" t="s">
        <v>636</v>
      </c>
      <c r="G93" s="12" t="s">
        <v>637</v>
      </c>
      <c r="H93" s="12" t="s">
        <v>30</v>
      </c>
      <c r="I93" s="12" t="s">
        <v>608</v>
      </c>
      <c r="J93" s="12" t="s">
        <v>93</v>
      </c>
      <c r="K93" s="12" t="s">
        <v>294</v>
      </c>
      <c r="L93" s="13">
        <v>46252</v>
      </c>
    </row>
    <row r="94" ht="58" customHeight="1" spans="1:12">
      <c r="A94" s="11">
        <v>93</v>
      </c>
      <c r="B94" s="12" t="s">
        <v>638</v>
      </c>
      <c r="C94" s="12" t="s">
        <v>149</v>
      </c>
      <c r="D94" s="12" t="s">
        <v>639</v>
      </c>
      <c r="E94" s="12" t="s">
        <v>640</v>
      </c>
      <c r="F94" s="12" t="s">
        <v>641</v>
      </c>
      <c r="G94" s="12" t="s">
        <v>642</v>
      </c>
      <c r="H94" s="12" t="s">
        <v>30</v>
      </c>
      <c r="I94" s="12" t="s">
        <v>608</v>
      </c>
      <c r="J94" s="12" t="s">
        <v>93</v>
      </c>
      <c r="K94" s="12" t="s">
        <v>94</v>
      </c>
      <c r="L94" s="13">
        <v>46252</v>
      </c>
    </row>
    <row r="95" ht="58" customHeight="1" spans="1:12">
      <c r="A95" s="11">
        <v>94</v>
      </c>
      <c r="B95" s="12" t="s">
        <v>643</v>
      </c>
      <c r="C95" s="12" t="s">
        <v>594</v>
      </c>
      <c r="D95" s="12" t="s">
        <v>644</v>
      </c>
      <c r="E95" s="12" t="s">
        <v>645</v>
      </c>
      <c r="F95" s="12" t="s">
        <v>215</v>
      </c>
      <c r="G95" s="12" t="s">
        <v>646</v>
      </c>
      <c r="H95" s="12" t="s">
        <v>30</v>
      </c>
      <c r="I95" s="12" t="s">
        <v>608</v>
      </c>
      <c r="J95" s="12" t="s">
        <v>79</v>
      </c>
      <c r="K95" s="12" t="s">
        <v>647</v>
      </c>
      <c r="L95" s="13">
        <v>46252</v>
      </c>
    </row>
    <row r="96" ht="58" customHeight="1" spans="1:12">
      <c r="A96" s="11">
        <v>95</v>
      </c>
      <c r="B96" s="12" t="s">
        <v>648</v>
      </c>
      <c r="C96" s="12" t="s">
        <v>649</v>
      </c>
      <c r="D96" s="12" t="s">
        <v>650</v>
      </c>
      <c r="E96" s="12" t="s">
        <v>552</v>
      </c>
      <c r="F96" s="12" t="s">
        <v>77</v>
      </c>
      <c r="G96" s="12" t="s">
        <v>651</v>
      </c>
      <c r="H96" s="12" t="s">
        <v>30</v>
      </c>
      <c r="I96" s="12" t="s">
        <v>608</v>
      </c>
      <c r="J96" s="12" t="s">
        <v>121</v>
      </c>
      <c r="K96" s="12" t="s">
        <v>554</v>
      </c>
      <c r="L96" s="13">
        <v>46252</v>
      </c>
    </row>
    <row r="97" ht="58" customHeight="1" spans="1:12">
      <c r="A97" s="11">
        <v>96</v>
      </c>
      <c r="B97" s="12" t="s">
        <v>652</v>
      </c>
      <c r="C97" s="12" t="s">
        <v>653</v>
      </c>
      <c r="D97" s="12" t="s">
        <v>654</v>
      </c>
      <c r="E97" s="12" t="s">
        <v>655</v>
      </c>
      <c r="F97" s="12" t="s">
        <v>77</v>
      </c>
      <c r="G97" s="12" t="s">
        <v>656</v>
      </c>
      <c r="H97" s="12" t="s">
        <v>30</v>
      </c>
      <c r="I97" s="12" t="s">
        <v>608</v>
      </c>
      <c r="J97" s="12" t="s">
        <v>202</v>
      </c>
      <c r="K97" s="12" t="s">
        <v>657</v>
      </c>
      <c r="L97" s="13">
        <v>46252</v>
      </c>
    </row>
    <row r="98" ht="58" customHeight="1" spans="1:12">
      <c r="A98" s="11">
        <v>97</v>
      </c>
      <c r="B98" s="12" t="s">
        <v>658</v>
      </c>
      <c r="C98" s="12" t="s">
        <v>659</v>
      </c>
      <c r="D98" s="12" t="s">
        <v>660</v>
      </c>
      <c r="E98" s="12" t="s">
        <v>661</v>
      </c>
      <c r="F98" s="12" t="s">
        <v>662</v>
      </c>
      <c r="G98" s="12" t="s">
        <v>663</v>
      </c>
      <c r="H98" s="12" t="s">
        <v>30</v>
      </c>
      <c r="I98" s="12" t="s">
        <v>608</v>
      </c>
      <c r="J98" s="12" t="s">
        <v>437</v>
      </c>
      <c r="K98" s="12" t="s">
        <v>664</v>
      </c>
      <c r="L98" s="13">
        <v>46252</v>
      </c>
    </row>
    <row r="99" ht="58" customHeight="1" spans="1:12">
      <c r="A99" s="11">
        <v>98</v>
      </c>
      <c r="B99" s="12" t="s">
        <v>665</v>
      </c>
      <c r="C99" s="12" t="s">
        <v>666</v>
      </c>
      <c r="D99" s="12" t="s">
        <v>667</v>
      </c>
      <c r="E99" s="12" t="s">
        <v>668</v>
      </c>
      <c r="F99" s="12" t="s">
        <v>669</v>
      </c>
      <c r="G99" s="12" t="s">
        <v>670</v>
      </c>
      <c r="H99" s="12" t="s">
        <v>30</v>
      </c>
      <c r="I99" s="12" t="s">
        <v>608</v>
      </c>
      <c r="J99" s="12" t="s">
        <v>93</v>
      </c>
      <c r="K99" s="12" t="s">
        <v>671</v>
      </c>
      <c r="L99" s="13">
        <v>46252</v>
      </c>
    </row>
    <row r="100" ht="58" customHeight="1" spans="1:12">
      <c r="A100" s="11">
        <v>99</v>
      </c>
      <c r="B100" s="12" t="s">
        <v>672</v>
      </c>
      <c r="C100" s="12" t="s">
        <v>673</v>
      </c>
      <c r="D100" s="12" t="s">
        <v>674</v>
      </c>
      <c r="E100" s="12" t="s">
        <v>675</v>
      </c>
      <c r="F100" s="12" t="s">
        <v>77</v>
      </c>
      <c r="G100" s="12" t="s">
        <v>676</v>
      </c>
      <c r="H100" s="12" t="s">
        <v>30</v>
      </c>
      <c r="I100" s="12" t="s">
        <v>608</v>
      </c>
      <c r="J100" s="12" t="s">
        <v>202</v>
      </c>
      <c r="K100" s="12" t="s">
        <v>677</v>
      </c>
      <c r="L100" s="13">
        <v>46252</v>
      </c>
    </row>
    <row r="101" ht="58" customHeight="1" spans="1:12">
      <c r="A101" s="11">
        <v>100</v>
      </c>
      <c r="B101" s="12" t="s">
        <v>678</v>
      </c>
      <c r="C101" s="12" t="s">
        <v>679</v>
      </c>
      <c r="D101" s="12" t="s">
        <v>680</v>
      </c>
      <c r="E101" s="12" t="s">
        <v>681</v>
      </c>
      <c r="F101" s="12" t="s">
        <v>77</v>
      </c>
      <c r="G101" s="12" t="s">
        <v>682</v>
      </c>
      <c r="H101" s="12" t="s">
        <v>30</v>
      </c>
      <c r="I101" s="12" t="s">
        <v>608</v>
      </c>
      <c r="J101" s="12" t="s">
        <v>93</v>
      </c>
      <c r="K101" s="12" t="s">
        <v>294</v>
      </c>
      <c r="L101" s="13">
        <v>46252</v>
      </c>
    </row>
    <row r="102" ht="58" customHeight="1" spans="1:12">
      <c r="A102" s="11">
        <v>101</v>
      </c>
      <c r="B102" s="12" t="s">
        <v>683</v>
      </c>
      <c r="C102" s="12" t="s">
        <v>96</v>
      </c>
      <c r="D102" s="12" t="s">
        <v>684</v>
      </c>
      <c r="E102" s="12" t="s">
        <v>685</v>
      </c>
      <c r="F102" s="12" t="s">
        <v>686</v>
      </c>
      <c r="G102" s="12" t="s">
        <v>687</v>
      </c>
      <c r="H102" s="12" t="s">
        <v>30</v>
      </c>
      <c r="I102" s="12" t="s">
        <v>608</v>
      </c>
      <c r="J102" s="12" t="s">
        <v>93</v>
      </c>
      <c r="K102" s="12" t="s">
        <v>94</v>
      </c>
      <c r="L102" s="13">
        <v>46252</v>
      </c>
    </row>
    <row r="103" ht="58" customHeight="1" spans="1:12">
      <c r="A103" s="11">
        <v>102</v>
      </c>
      <c r="B103" s="12" t="s">
        <v>688</v>
      </c>
      <c r="C103" s="12" t="s">
        <v>96</v>
      </c>
      <c r="D103" s="12" t="s">
        <v>689</v>
      </c>
      <c r="E103" s="12" t="s">
        <v>690</v>
      </c>
      <c r="F103" s="12" t="s">
        <v>691</v>
      </c>
      <c r="G103" s="12" t="s">
        <v>692</v>
      </c>
      <c r="H103" s="12" t="s">
        <v>30</v>
      </c>
      <c r="I103" s="12" t="s">
        <v>608</v>
      </c>
      <c r="J103" s="12" t="s">
        <v>93</v>
      </c>
      <c r="K103" s="12" t="s">
        <v>94</v>
      </c>
      <c r="L103" s="13">
        <v>46252</v>
      </c>
    </row>
    <row r="104" ht="58" customHeight="1" spans="1:12">
      <c r="A104" s="11">
        <v>103</v>
      </c>
      <c r="B104" s="12" t="s">
        <v>693</v>
      </c>
      <c r="C104" s="12" t="s">
        <v>694</v>
      </c>
      <c r="D104" s="12" t="s">
        <v>695</v>
      </c>
      <c r="E104" s="12" t="s">
        <v>696</v>
      </c>
      <c r="F104" s="12" t="s">
        <v>697</v>
      </c>
      <c r="G104" s="12" t="s">
        <v>698</v>
      </c>
      <c r="H104" s="12" t="s">
        <v>30</v>
      </c>
      <c r="I104" s="12" t="s">
        <v>608</v>
      </c>
      <c r="J104" s="12" t="s">
        <v>699</v>
      </c>
      <c r="K104" s="12" t="s">
        <v>700</v>
      </c>
      <c r="L104" s="13">
        <v>46252</v>
      </c>
    </row>
    <row r="105" ht="58" customHeight="1" spans="1:12">
      <c r="A105" s="11">
        <v>104</v>
      </c>
      <c r="B105" s="12" t="s">
        <v>701</v>
      </c>
      <c r="C105" s="12" t="s">
        <v>702</v>
      </c>
      <c r="D105" s="12" t="s">
        <v>703</v>
      </c>
      <c r="E105" s="12" t="s">
        <v>704</v>
      </c>
      <c r="F105" s="12" t="s">
        <v>705</v>
      </c>
      <c r="G105" s="12" t="s">
        <v>706</v>
      </c>
      <c r="H105" s="12" t="s">
        <v>30</v>
      </c>
      <c r="I105" s="12" t="s">
        <v>707</v>
      </c>
      <c r="J105" s="12" t="s">
        <v>121</v>
      </c>
      <c r="K105" s="12" t="s">
        <v>708</v>
      </c>
      <c r="L105" s="13">
        <v>46252</v>
      </c>
    </row>
    <row r="106" ht="58" customHeight="1" spans="1:12">
      <c r="A106" s="11">
        <v>105</v>
      </c>
      <c r="B106" s="12" t="s">
        <v>709</v>
      </c>
      <c r="C106" s="12" t="s">
        <v>96</v>
      </c>
      <c r="D106" s="12" t="s">
        <v>710</v>
      </c>
      <c r="E106" s="12" t="s">
        <v>711</v>
      </c>
      <c r="F106" s="12" t="s">
        <v>712</v>
      </c>
      <c r="G106" s="12" t="s">
        <v>713</v>
      </c>
      <c r="H106" s="12" t="s">
        <v>30</v>
      </c>
      <c r="I106" s="12" t="s">
        <v>608</v>
      </c>
      <c r="J106" s="12" t="s">
        <v>71</v>
      </c>
      <c r="K106" s="12" t="s">
        <v>714</v>
      </c>
      <c r="L106" s="13">
        <v>46252</v>
      </c>
    </row>
    <row r="107" ht="58" customHeight="1" spans="1:12">
      <c r="A107" s="11">
        <v>106</v>
      </c>
      <c r="B107" s="12" t="s">
        <v>715</v>
      </c>
      <c r="C107" s="12" t="s">
        <v>96</v>
      </c>
      <c r="D107" s="12" t="s">
        <v>716</v>
      </c>
      <c r="E107" s="12" t="s">
        <v>165</v>
      </c>
      <c r="F107" s="12" t="s">
        <v>215</v>
      </c>
      <c r="G107" s="12" t="s">
        <v>717</v>
      </c>
      <c r="H107" s="12" t="s">
        <v>30</v>
      </c>
      <c r="I107" s="12" t="s">
        <v>718</v>
      </c>
      <c r="J107" s="12" t="s">
        <v>93</v>
      </c>
      <c r="K107" s="12" t="s">
        <v>719</v>
      </c>
      <c r="L107" s="13">
        <v>46252</v>
      </c>
    </row>
    <row r="108" ht="58" customHeight="1" spans="1:12">
      <c r="A108" s="11">
        <v>107</v>
      </c>
      <c r="B108" s="12" t="s">
        <v>720</v>
      </c>
      <c r="C108" s="12" t="s">
        <v>721</v>
      </c>
      <c r="D108" s="12" t="s">
        <v>722</v>
      </c>
      <c r="E108" s="12" t="s">
        <v>723</v>
      </c>
      <c r="F108" s="12" t="s">
        <v>724</v>
      </c>
      <c r="G108" s="12" t="s">
        <v>725</v>
      </c>
      <c r="H108" s="12" t="s">
        <v>30</v>
      </c>
      <c r="I108" s="12" t="s">
        <v>608</v>
      </c>
      <c r="J108" s="12" t="s">
        <v>71</v>
      </c>
      <c r="K108" s="12" t="s">
        <v>174</v>
      </c>
      <c r="L108" s="13">
        <v>46252</v>
      </c>
    </row>
    <row r="109" ht="58" customHeight="1" spans="1:12">
      <c r="A109" s="11">
        <v>108</v>
      </c>
      <c r="B109" s="12" t="s">
        <v>726</v>
      </c>
      <c r="C109" s="12" t="s">
        <v>628</v>
      </c>
      <c r="D109" s="12" t="s">
        <v>727</v>
      </c>
      <c r="E109" s="12" t="s">
        <v>728</v>
      </c>
      <c r="F109" s="12" t="s">
        <v>729</v>
      </c>
      <c r="G109" s="12" t="s">
        <v>730</v>
      </c>
      <c r="H109" s="12" t="s">
        <v>30</v>
      </c>
      <c r="I109" s="12" t="s">
        <v>608</v>
      </c>
      <c r="J109" s="12" t="s">
        <v>93</v>
      </c>
      <c r="K109" s="12" t="s">
        <v>94</v>
      </c>
      <c r="L109" s="13">
        <v>46252</v>
      </c>
    </row>
    <row r="110" ht="58" customHeight="1" spans="1:12">
      <c r="A110" s="11">
        <v>109</v>
      </c>
      <c r="B110" s="12" t="s">
        <v>731</v>
      </c>
      <c r="C110" s="12" t="s">
        <v>732</v>
      </c>
      <c r="D110" s="12" t="s">
        <v>733</v>
      </c>
      <c r="E110" s="12" t="s">
        <v>734</v>
      </c>
      <c r="F110" s="12" t="s">
        <v>215</v>
      </c>
      <c r="G110" s="12" t="s">
        <v>735</v>
      </c>
      <c r="H110" s="12" t="s">
        <v>30</v>
      </c>
      <c r="I110" s="12" t="s">
        <v>608</v>
      </c>
      <c r="J110" s="12" t="s">
        <v>86</v>
      </c>
      <c r="K110" s="12" t="s">
        <v>80</v>
      </c>
      <c r="L110" s="13">
        <v>46252</v>
      </c>
    </row>
    <row r="111" ht="58" customHeight="1" spans="1:12">
      <c r="A111" s="11">
        <v>110</v>
      </c>
      <c r="B111" s="12" t="s">
        <v>736</v>
      </c>
      <c r="C111" s="12" t="s">
        <v>737</v>
      </c>
      <c r="D111" s="12" t="s">
        <v>738</v>
      </c>
      <c r="E111" s="12" t="s">
        <v>739</v>
      </c>
      <c r="F111" s="12" t="s">
        <v>740</v>
      </c>
      <c r="G111" s="12" t="s">
        <v>741</v>
      </c>
      <c r="H111" s="12" t="s">
        <v>30</v>
      </c>
      <c r="I111" s="12" t="s">
        <v>608</v>
      </c>
      <c r="J111" s="12" t="s">
        <v>742</v>
      </c>
      <c r="K111" s="12" t="s">
        <v>743</v>
      </c>
      <c r="L111" s="13">
        <v>46252</v>
      </c>
    </row>
    <row r="112" ht="58" customHeight="1" spans="1:12">
      <c r="A112" s="11">
        <v>111</v>
      </c>
      <c r="B112" s="12" t="s">
        <v>744</v>
      </c>
      <c r="C112" s="12" t="s">
        <v>96</v>
      </c>
      <c r="D112" s="12" t="s">
        <v>745</v>
      </c>
      <c r="E112" s="12" t="s">
        <v>746</v>
      </c>
      <c r="F112" s="12" t="s">
        <v>747</v>
      </c>
      <c r="G112" s="12" t="s">
        <v>748</v>
      </c>
      <c r="H112" s="12" t="s">
        <v>30</v>
      </c>
      <c r="I112" s="12" t="s">
        <v>608</v>
      </c>
      <c r="J112" s="12" t="s">
        <v>93</v>
      </c>
      <c r="K112" s="12" t="s">
        <v>94</v>
      </c>
      <c r="L112" s="13">
        <v>46252</v>
      </c>
    </row>
    <row r="113" ht="58" customHeight="1" spans="1:12">
      <c r="A113" s="11">
        <v>112</v>
      </c>
      <c r="B113" s="12" t="s">
        <v>749</v>
      </c>
      <c r="C113" s="12" t="s">
        <v>96</v>
      </c>
      <c r="D113" s="12" t="s">
        <v>750</v>
      </c>
      <c r="E113" s="12" t="s">
        <v>751</v>
      </c>
      <c r="F113" s="12" t="s">
        <v>429</v>
      </c>
      <c r="G113" s="12" t="s">
        <v>752</v>
      </c>
      <c r="H113" s="12" t="s">
        <v>30</v>
      </c>
      <c r="I113" s="12" t="s">
        <v>608</v>
      </c>
      <c r="J113" s="12" t="s">
        <v>93</v>
      </c>
      <c r="K113" s="12" t="s">
        <v>753</v>
      </c>
      <c r="L113" s="13">
        <v>46252</v>
      </c>
    </row>
    <row r="114" ht="58" customHeight="1" spans="1:12">
      <c r="A114" s="11">
        <v>113</v>
      </c>
      <c r="B114" s="12" t="s">
        <v>754</v>
      </c>
      <c r="C114" s="12" t="s">
        <v>96</v>
      </c>
      <c r="D114" s="12" t="s">
        <v>755</v>
      </c>
      <c r="E114" s="12" t="s">
        <v>453</v>
      </c>
      <c r="F114" s="12" t="s">
        <v>756</v>
      </c>
      <c r="G114" s="12" t="s">
        <v>757</v>
      </c>
      <c r="H114" s="12" t="s">
        <v>30</v>
      </c>
      <c r="I114" s="12" t="s">
        <v>620</v>
      </c>
      <c r="J114" s="12" t="s">
        <v>93</v>
      </c>
      <c r="K114" s="12" t="s">
        <v>94</v>
      </c>
      <c r="L114" s="13">
        <v>46252</v>
      </c>
    </row>
    <row r="115" ht="58" customHeight="1" spans="1:12">
      <c r="A115" s="11">
        <v>114</v>
      </c>
      <c r="B115" s="12" t="s">
        <v>758</v>
      </c>
      <c r="C115" s="12" t="s">
        <v>759</v>
      </c>
      <c r="D115" s="12" t="s">
        <v>760</v>
      </c>
      <c r="E115" s="12" t="s">
        <v>761</v>
      </c>
      <c r="F115" s="12" t="s">
        <v>762</v>
      </c>
      <c r="G115" s="12" t="s">
        <v>763</v>
      </c>
      <c r="H115" s="12" t="s">
        <v>31</v>
      </c>
      <c r="I115" s="12" t="s">
        <v>764</v>
      </c>
      <c r="J115" s="12" t="s">
        <v>71</v>
      </c>
      <c r="K115" s="12" t="s">
        <v>765</v>
      </c>
      <c r="L115" s="13">
        <v>46252</v>
      </c>
    </row>
    <row r="116" ht="58" customHeight="1" spans="1:12">
      <c r="A116" s="11">
        <v>115</v>
      </c>
      <c r="B116" s="12" t="s">
        <v>766</v>
      </c>
      <c r="C116" s="12" t="s">
        <v>96</v>
      </c>
      <c r="D116" s="12" t="s">
        <v>767</v>
      </c>
      <c r="E116" s="12" t="s">
        <v>768</v>
      </c>
      <c r="F116" s="12" t="s">
        <v>769</v>
      </c>
      <c r="G116" s="12" t="s">
        <v>770</v>
      </c>
      <c r="H116" s="12" t="s">
        <v>31</v>
      </c>
      <c r="I116" s="12" t="s">
        <v>764</v>
      </c>
      <c r="J116" s="12" t="s">
        <v>93</v>
      </c>
      <c r="K116" s="12" t="s">
        <v>771</v>
      </c>
      <c r="L116" s="13">
        <v>46252</v>
      </c>
    </row>
    <row r="117" ht="58" customHeight="1" spans="1:12">
      <c r="A117" s="11">
        <v>116</v>
      </c>
      <c r="B117" s="12" t="s">
        <v>772</v>
      </c>
      <c r="C117" s="12" t="s">
        <v>773</v>
      </c>
      <c r="D117" s="12" t="s">
        <v>774</v>
      </c>
      <c r="E117" s="12" t="s">
        <v>564</v>
      </c>
      <c r="F117" s="12" t="s">
        <v>775</v>
      </c>
      <c r="G117" s="12" t="s">
        <v>776</v>
      </c>
      <c r="H117" s="12" t="s">
        <v>31</v>
      </c>
      <c r="I117" s="12" t="s">
        <v>764</v>
      </c>
      <c r="J117" s="12" t="s">
        <v>93</v>
      </c>
      <c r="K117" s="12" t="s">
        <v>94</v>
      </c>
      <c r="L117" s="13">
        <v>46252</v>
      </c>
    </row>
    <row r="118" ht="58" customHeight="1" spans="1:12">
      <c r="A118" s="11">
        <v>117</v>
      </c>
      <c r="B118" s="12" t="s">
        <v>777</v>
      </c>
      <c r="C118" s="12" t="s">
        <v>778</v>
      </c>
      <c r="D118" s="12" t="s">
        <v>779</v>
      </c>
      <c r="E118" s="12" t="s">
        <v>780</v>
      </c>
      <c r="F118" s="12" t="s">
        <v>547</v>
      </c>
      <c r="G118" s="12" t="s">
        <v>781</v>
      </c>
      <c r="H118" s="12" t="s">
        <v>32</v>
      </c>
      <c r="I118" s="12" t="s">
        <v>782</v>
      </c>
      <c r="J118" s="12" t="s">
        <v>71</v>
      </c>
      <c r="K118" s="12" t="s">
        <v>72</v>
      </c>
      <c r="L118" s="13">
        <v>46252</v>
      </c>
    </row>
    <row r="119" ht="58" customHeight="1" spans="1:12">
      <c r="A119" s="11">
        <v>118</v>
      </c>
      <c r="B119" s="12" t="s">
        <v>783</v>
      </c>
      <c r="C119" s="12" t="s">
        <v>773</v>
      </c>
      <c r="D119" s="12" t="s">
        <v>784</v>
      </c>
      <c r="E119" s="12" t="s">
        <v>785</v>
      </c>
      <c r="F119" s="12" t="s">
        <v>786</v>
      </c>
      <c r="G119" s="12" t="s">
        <v>787</v>
      </c>
      <c r="H119" s="12" t="s">
        <v>32</v>
      </c>
      <c r="I119" s="12" t="s">
        <v>782</v>
      </c>
      <c r="J119" s="12" t="s">
        <v>93</v>
      </c>
      <c r="K119" s="12" t="s">
        <v>788</v>
      </c>
      <c r="L119" s="13">
        <v>46252</v>
      </c>
    </row>
    <row r="120" ht="58" customHeight="1" spans="1:12">
      <c r="A120" s="11">
        <v>119</v>
      </c>
      <c r="B120" s="12" t="s">
        <v>789</v>
      </c>
      <c r="C120" s="12" t="s">
        <v>649</v>
      </c>
      <c r="D120" s="12" t="s">
        <v>790</v>
      </c>
      <c r="E120" s="12" t="s">
        <v>791</v>
      </c>
      <c r="F120" s="12" t="s">
        <v>215</v>
      </c>
      <c r="G120" s="12" t="s">
        <v>792</v>
      </c>
      <c r="H120" s="12" t="s">
        <v>33</v>
      </c>
      <c r="I120" s="12" t="s">
        <v>793</v>
      </c>
      <c r="J120" s="12" t="s">
        <v>121</v>
      </c>
      <c r="K120" s="12" t="s">
        <v>794</v>
      </c>
      <c r="L120" s="13">
        <v>46252</v>
      </c>
    </row>
    <row r="121" ht="58" customHeight="1" spans="1:12">
      <c r="A121" s="11">
        <v>120</v>
      </c>
      <c r="B121" s="12" t="s">
        <v>795</v>
      </c>
      <c r="C121" s="12" t="s">
        <v>796</v>
      </c>
      <c r="D121" s="12" t="s">
        <v>797</v>
      </c>
      <c r="E121" s="12" t="s">
        <v>798</v>
      </c>
      <c r="F121" s="12" t="s">
        <v>215</v>
      </c>
      <c r="G121" s="12" t="s">
        <v>799</v>
      </c>
      <c r="H121" s="12" t="s">
        <v>33</v>
      </c>
      <c r="I121" s="12" t="s">
        <v>793</v>
      </c>
      <c r="J121" s="12" t="s">
        <v>270</v>
      </c>
      <c r="K121" s="12" t="s">
        <v>794</v>
      </c>
      <c r="L121" s="13">
        <v>46252</v>
      </c>
    </row>
    <row r="122" ht="58" customHeight="1" spans="1:12">
      <c r="A122" s="11">
        <v>121</v>
      </c>
      <c r="B122" s="12" t="s">
        <v>800</v>
      </c>
      <c r="C122" s="12" t="s">
        <v>801</v>
      </c>
      <c r="D122" s="12" t="s">
        <v>802</v>
      </c>
      <c r="E122" s="12" t="s">
        <v>803</v>
      </c>
      <c r="F122" s="12" t="s">
        <v>215</v>
      </c>
      <c r="G122" s="12" t="s">
        <v>804</v>
      </c>
      <c r="H122" s="12" t="s">
        <v>33</v>
      </c>
      <c r="I122" s="12" t="s">
        <v>793</v>
      </c>
      <c r="J122" s="12" t="s">
        <v>270</v>
      </c>
      <c r="K122" s="12" t="s">
        <v>794</v>
      </c>
      <c r="L122" s="13">
        <v>46252</v>
      </c>
    </row>
    <row r="123" ht="58" customHeight="1" spans="1:12">
      <c r="A123" s="11">
        <v>122</v>
      </c>
      <c r="B123" s="12" t="s">
        <v>805</v>
      </c>
      <c r="C123" s="12" t="s">
        <v>806</v>
      </c>
      <c r="D123" s="12" t="s">
        <v>807</v>
      </c>
      <c r="E123" s="12" t="s">
        <v>808</v>
      </c>
      <c r="F123" s="12" t="s">
        <v>77</v>
      </c>
      <c r="G123" s="12" t="s">
        <v>809</v>
      </c>
      <c r="H123" s="12" t="s">
        <v>34</v>
      </c>
      <c r="I123" s="12" t="s">
        <v>810</v>
      </c>
      <c r="J123" s="12" t="s">
        <v>370</v>
      </c>
      <c r="K123" s="12" t="s">
        <v>80</v>
      </c>
      <c r="L123" s="13">
        <v>46252</v>
      </c>
    </row>
    <row r="124" ht="58" customHeight="1" spans="1:12">
      <c r="A124" s="11">
        <v>123</v>
      </c>
      <c r="B124" s="12" t="s">
        <v>811</v>
      </c>
      <c r="C124" s="12" t="s">
        <v>582</v>
      </c>
      <c r="D124" s="12" t="s">
        <v>812</v>
      </c>
      <c r="E124" s="12" t="s">
        <v>813</v>
      </c>
      <c r="F124" s="12" t="s">
        <v>814</v>
      </c>
      <c r="G124" s="12" t="s">
        <v>815</v>
      </c>
      <c r="H124" s="12" t="s">
        <v>34</v>
      </c>
      <c r="I124" s="12" t="s">
        <v>816</v>
      </c>
      <c r="J124" s="12" t="s">
        <v>93</v>
      </c>
      <c r="K124" s="12" t="s">
        <v>817</v>
      </c>
      <c r="L124" s="13">
        <v>46252</v>
      </c>
    </row>
    <row r="125" ht="58" customHeight="1" spans="1:12">
      <c r="A125" s="11">
        <v>124</v>
      </c>
      <c r="B125" s="12" t="s">
        <v>818</v>
      </c>
      <c r="C125" s="12" t="s">
        <v>96</v>
      </c>
      <c r="D125" s="12" t="s">
        <v>819</v>
      </c>
      <c r="E125" s="12" t="s">
        <v>820</v>
      </c>
      <c r="F125" s="12" t="s">
        <v>547</v>
      </c>
      <c r="G125" s="12" t="s">
        <v>821</v>
      </c>
      <c r="H125" s="12" t="s">
        <v>34</v>
      </c>
      <c r="I125" s="12" t="s">
        <v>822</v>
      </c>
      <c r="J125" s="12" t="s">
        <v>71</v>
      </c>
      <c r="K125" s="12" t="s">
        <v>72</v>
      </c>
      <c r="L125" s="13">
        <v>46252</v>
      </c>
    </row>
    <row r="126" ht="58" customHeight="1" spans="1:12">
      <c r="A126" s="11">
        <v>125</v>
      </c>
      <c r="B126" s="12" t="s">
        <v>823</v>
      </c>
      <c r="C126" s="12" t="s">
        <v>824</v>
      </c>
      <c r="D126" s="12" t="s">
        <v>825</v>
      </c>
      <c r="E126" s="12" t="s">
        <v>826</v>
      </c>
      <c r="F126" s="12" t="s">
        <v>827</v>
      </c>
      <c r="G126" s="12" t="s">
        <v>828</v>
      </c>
      <c r="H126" s="12" t="s">
        <v>34</v>
      </c>
      <c r="I126" s="12" t="s">
        <v>822</v>
      </c>
      <c r="J126" s="12" t="s">
        <v>71</v>
      </c>
      <c r="K126" s="12" t="s">
        <v>72</v>
      </c>
      <c r="L126" s="13">
        <v>46252</v>
      </c>
    </row>
    <row r="127" ht="58" customHeight="1" spans="1:12">
      <c r="A127" s="11">
        <v>126</v>
      </c>
      <c r="B127" s="12" t="s">
        <v>829</v>
      </c>
      <c r="C127" s="12" t="s">
        <v>830</v>
      </c>
      <c r="D127" s="12" t="s">
        <v>831</v>
      </c>
      <c r="E127" s="12" t="s">
        <v>832</v>
      </c>
      <c r="F127" s="12" t="s">
        <v>547</v>
      </c>
      <c r="G127" s="12" t="s">
        <v>833</v>
      </c>
      <c r="H127" s="12" t="s">
        <v>35</v>
      </c>
      <c r="I127" s="12" t="s">
        <v>834</v>
      </c>
      <c r="J127" s="12" t="s">
        <v>202</v>
      </c>
      <c r="K127" s="12" t="s">
        <v>835</v>
      </c>
      <c r="L127" s="13">
        <v>46252</v>
      </c>
    </row>
    <row r="128" ht="58" customHeight="1" spans="1:12">
      <c r="A128" s="11">
        <v>127</v>
      </c>
      <c r="B128" s="12" t="s">
        <v>836</v>
      </c>
      <c r="C128" s="12" t="s">
        <v>582</v>
      </c>
      <c r="D128" s="12" t="s">
        <v>837</v>
      </c>
      <c r="E128" s="12" t="s">
        <v>838</v>
      </c>
      <c r="F128" s="12" t="s">
        <v>541</v>
      </c>
      <c r="G128" s="12" t="s">
        <v>839</v>
      </c>
      <c r="H128" s="12" t="s">
        <v>35</v>
      </c>
      <c r="I128" s="12" t="s">
        <v>840</v>
      </c>
      <c r="J128" s="12" t="s">
        <v>93</v>
      </c>
      <c r="K128" s="12" t="s">
        <v>841</v>
      </c>
      <c r="L128" s="13">
        <v>46252</v>
      </c>
    </row>
    <row r="129" ht="58" customHeight="1" spans="1:12">
      <c r="A129" s="11">
        <v>128</v>
      </c>
      <c r="B129" s="12" t="s">
        <v>842</v>
      </c>
      <c r="C129" s="12" t="s">
        <v>702</v>
      </c>
      <c r="D129" s="12" t="s">
        <v>843</v>
      </c>
      <c r="E129" s="12" t="s">
        <v>844</v>
      </c>
      <c r="F129" s="12" t="s">
        <v>77</v>
      </c>
      <c r="G129" s="12" t="s">
        <v>845</v>
      </c>
      <c r="H129" s="12" t="s">
        <v>36</v>
      </c>
      <c r="I129" s="12" t="s">
        <v>846</v>
      </c>
      <c r="J129" s="12" t="s">
        <v>121</v>
      </c>
      <c r="K129" s="12" t="s">
        <v>847</v>
      </c>
      <c r="L129" s="13">
        <v>46252</v>
      </c>
    </row>
    <row r="130" ht="58" customHeight="1" spans="1:12">
      <c r="A130" s="11">
        <v>129</v>
      </c>
      <c r="B130" s="12" t="s">
        <v>848</v>
      </c>
      <c r="C130" s="12" t="s">
        <v>849</v>
      </c>
      <c r="D130" s="12" t="s">
        <v>850</v>
      </c>
      <c r="E130" s="12" t="s">
        <v>851</v>
      </c>
      <c r="F130" s="12" t="s">
        <v>215</v>
      </c>
      <c r="G130" s="12" t="s">
        <v>852</v>
      </c>
      <c r="H130" s="12" t="s">
        <v>36</v>
      </c>
      <c r="I130" s="12" t="s">
        <v>846</v>
      </c>
      <c r="J130" s="12" t="s">
        <v>202</v>
      </c>
      <c r="K130" s="12" t="s">
        <v>210</v>
      </c>
      <c r="L130" s="13">
        <v>46252</v>
      </c>
    </row>
    <row r="131" ht="58" customHeight="1" spans="1:12">
      <c r="A131" s="11">
        <v>130</v>
      </c>
      <c r="B131" s="12" t="s">
        <v>853</v>
      </c>
      <c r="C131" s="12" t="s">
        <v>854</v>
      </c>
      <c r="D131" s="12" t="s">
        <v>855</v>
      </c>
      <c r="E131" s="12" t="s">
        <v>564</v>
      </c>
      <c r="F131" s="12" t="s">
        <v>215</v>
      </c>
      <c r="G131" s="12" t="s">
        <v>856</v>
      </c>
      <c r="H131" s="12" t="s">
        <v>36</v>
      </c>
      <c r="I131" s="12" t="s">
        <v>846</v>
      </c>
      <c r="J131" s="12" t="s">
        <v>93</v>
      </c>
      <c r="K131" s="12" t="s">
        <v>857</v>
      </c>
      <c r="L131" s="13">
        <v>46252</v>
      </c>
    </row>
    <row r="132" ht="58" customHeight="1" spans="1:12">
      <c r="A132" s="11">
        <v>131</v>
      </c>
      <c r="B132" s="12" t="s">
        <v>858</v>
      </c>
      <c r="C132" s="12" t="s">
        <v>679</v>
      </c>
      <c r="D132" s="12" t="s">
        <v>859</v>
      </c>
      <c r="E132" s="12" t="s">
        <v>860</v>
      </c>
      <c r="F132" s="12" t="s">
        <v>861</v>
      </c>
      <c r="G132" s="12" t="s">
        <v>862</v>
      </c>
      <c r="H132" s="12" t="s">
        <v>36</v>
      </c>
      <c r="I132" s="12" t="s">
        <v>846</v>
      </c>
      <c r="J132" s="12" t="s">
        <v>93</v>
      </c>
      <c r="K132" s="12" t="s">
        <v>863</v>
      </c>
      <c r="L132" s="13">
        <v>46252</v>
      </c>
    </row>
    <row r="133" ht="58" customHeight="1" spans="1:12">
      <c r="A133" s="11">
        <v>132</v>
      </c>
      <c r="B133" s="12" t="s">
        <v>864</v>
      </c>
      <c r="C133" s="12" t="s">
        <v>96</v>
      </c>
      <c r="D133" s="12" t="s">
        <v>865</v>
      </c>
      <c r="E133" s="12" t="s">
        <v>866</v>
      </c>
      <c r="F133" s="12" t="s">
        <v>215</v>
      </c>
      <c r="G133" s="12" t="s">
        <v>867</v>
      </c>
      <c r="H133" s="12" t="s">
        <v>36</v>
      </c>
      <c r="I133" s="12" t="s">
        <v>846</v>
      </c>
      <c r="J133" s="12" t="s">
        <v>93</v>
      </c>
      <c r="K133" s="12" t="s">
        <v>210</v>
      </c>
      <c r="L133" s="13">
        <v>46252</v>
      </c>
    </row>
    <row r="134" ht="58" customHeight="1" spans="1:12">
      <c r="A134" s="11">
        <v>133</v>
      </c>
      <c r="B134" s="12" t="s">
        <v>868</v>
      </c>
      <c r="C134" s="12" t="s">
        <v>869</v>
      </c>
      <c r="D134" s="12" t="s">
        <v>870</v>
      </c>
      <c r="E134" s="12" t="s">
        <v>871</v>
      </c>
      <c r="F134" s="12" t="s">
        <v>872</v>
      </c>
      <c r="G134" s="12" t="s">
        <v>873</v>
      </c>
      <c r="H134" s="12" t="s">
        <v>36</v>
      </c>
      <c r="I134" s="12" t="s">
        <v>846</v>
      </c>
      <c r="J134" s="12" t="s">
        <v>93</v>
      </c>
      <c r="K134" s="12" t="s">
        <v>874</v>
      </c>
      <c r="L134" s="13">
        <v>46252</v>
      </c>
    </row>
    <row r="135" ht="58" customHeight="1" spans="1:12">
      <c r="A135" s="11">
        <v>134</v>
      </c>
      <c r="B135" s="12" t="s">
        <v>875</v>
      </c>
      <c r="C135" s="12" t="s">
        <v>876</v>
      </c>
      <c r="D135" s="12" t="s">
        <v>877</v>
      </c>
      <c r="E135" s="12" t="s">
        <v>878</v>
      </c>
      <c r="F135" s="12" t="s">
        <v>879</v>
      </c>
      <c r="G135" s="12" t="s">
        <v>880</v>
      </c>
      <c r="H135" s="12" t="s">
        <v>37</v>
      </c>
      <c r="I135" s="12" t="s">
        <v>881</v>
      </c>
      <c r="J135" s="12" t="s">
        <v>71</v>
      </c>
      <c r="K135" s="12" t="s">
        <v>72</v>
      </c>
      <c r="L135" s="13">
        <v>46252</v>
      </c>
    </row>
    <row r="136" ht="58" customHeight="1" spans="1:12">
      <c r="A136" s="11">
        <v>135</v>
      </c>
      <c r="B136" s="12" t="s">
        <v>882</v>
      </c>
      <c r="C136" s="12" t="s">
        <v>883</v>
      </c>
      <c r="D136" s="12" t="s">
        <v>884</v>
      </c>
      <c r="E136" s="12" t="s">
        <v>885</v>
      </c>
      <c r="F136" s="12" t="s">
        <v>215</v>
      </c>
      <c r="G136" s="12" t="s">
        <v>886</v>
      </c>
      <c r="H136" s="12" t="s">
        <v>38</v>
      </c>
      <c r="I136" s="12" t="s">
        <v>887</v>
      </c>
      <c r="J136" s="12" t="s">
        <v>503</v>
      </c>
      <c r="K136" s="12" t="s">
        <v>888</v>
      </c>
      <c r="L136" s="13">
        <v>46252</v>
      </c>
    </row>
    <row r="137" ht="58" customHeight="1" spans="1:12">
      <c r="A137" s="11">
        <v>136</v>
      </c>
      <c r="B137" s="12" t="s">
        <v>889</v>
      </c>
      <c r="C137" s="12" t="s">
        <v>96</v>
      </c>
      <c r="D137" s="12" t="s">
        <v>890</v>
      </c>
      <c r="E137" s="12" t="s">
        <v>891</v>
      </c>
      <c r="F137" s="12" t="s">
        <v>892</v>
      </c>
      <c r="G137" s="12" t="s">
        <v>893</v>
      </c>
      <c r="H137" s="12" t="s">
        <v>38</v>
      </c>
      <c r="I137" s="12" t="s">
        <v>894</v>
      </c>
      <c r="J137" s="12" t="s">
        <v>93</v>
      </c>
      <c r="K137" s="12" t="s">
        <v>72</v>
      </c>
      <c r="L137" s="13">
        <v>46252</v>
      </c>
    </row>
    <row r="138" ht="58" customHeight="1" spans="1:12">
      <c r="A138" s="11">
        <v>137</v>
      </c>
      <c r="B138" s="12" t="s">
        <v>895</v>
      </c>
      <c r="C138" s="12" t="s">
        <v>896</v>
      </c>
      <c r="D138" s="12" t="s">
        <v>897</v>
      </c>
      <c r="E138" s="12" t="s">
        <v>898</v>
      </c>
      <c r="F138" s="12" t="s">
        <v>899</v>
      </c>
      <c r="G138" s="12" t="s">
        <v>900</v>
      </c>
      <c r="H138" s="12" t="s">
        <v>38</v>
      </c>
      <c r="I138" s="12" t="s">
        <v>894</v>
      </c>
      <c r="J138" s="12" t="s">
        <v>503</v>
      </c>
      <c r="K138" s="12" t="s">
        <v>174</v>
      </c>
      <c r="L138" s="13">
        <v>46252</v>
      </c>
    </row>
    <row r="139" ht="58" customHeight="1" spans="1:12">
      <c r="A139" s="11">
        <v>138</v>
      </c>
      <c r="B139" s="12" t="s">
        <v>901</v>
      </c>
      <c r="C139" s="12" t="s">
        <v>103</v>
      </c>
      <c r="D139" s="12" t="s">
        <v>902</v>
      </c>
      <c r="E139" s="12" t="s">
        <v>903</v>
      </c>
      <c r="F139" s="12" t="s">
        <v>904</v>
      </c>
      <c r="G139" s="12" t="s">
        <v>905</v>
      </c>
      <c r="H139" s="12" t="s">
        <v>38</v>
      </c>
      <c r="I139" s="12" t="s">
        <v>894</v>
      </c>
      <c r="J139" s="12" t="s">
        <v>93</v>
      </c>
      <c r="K139" s="12" t="s">
        <v>94</v>
      </c>
      <c r="L139" s="13">
        <v>46252</v>
      </c>
    </row>
    <row r="140" ht="58" customHeight="1" spans="1:12">
      <c r="A140" s="11">
        <v>139</v>
      </c>
      <c r="B140" s="12" t="s">
        <v>906</v>
      </c>
      <c r="C140" s="12" t="s">
        <v>96</v>
      </c>
      <c r="D140" s="12" t="s">
        <v>907</v>
      </c>
      <c r="E140" s="12" t="s">
        <v>908</v>
      </c>
      <c r="F140" s="12" t="s">
        <v>827</v>
      </c>
      <c r="G140" s="12" t="s">
        <v>909</v>
      </c>
      <c r="H140" s="12" t="s">
        <v>38</v>
      </c>
      <c r="I140" s="12" t="s">
        <v>887</v>
      </c>
      <c r="J140" s="12" t="s">
        <v>71</v>
      </c>
      <c r="K140" s="12" t="s">
        <v>72</v>
      </c>
      <c r="L140" s="13">
        <v>46252</v>
      </c>
    </row>
    <row r="141" ht="58" customHeight="1" spans="1:12">
      <c r="A141" s="11">
        <v>140</v>
      </c>
      <c r="B141" s="12" t="s">
        <v>910</v>
      </c>
      <c r="C141" s="12" t="s">
        <v>911</v>
      </c>
      <c r="D141" s="12" t="s">
        <v>912</v>
      </c>
      <c r="E141" s="12" t="s">
        <v>913</v>
      </c>
      <c r="F141" s="12" t="s">
        <v>914</v>
      </c>
      <c r="G141" s="12" t="s">
        <v>915</v>
      </c>
      <c r="H141" s="12" t="s">
        <v>38</v>
      </c>
      <c r="I141" s="12" t="s">
        <v>916</v>
      </c>
      <c r="J141" s="12" t="s">
        <v>917</v>
      </c>
      <c r="K141" s="12" t="s">
        <v>918</v>
      </c>
      <c r="L141" s="13">
        <v>46252</v>
      </c>
    </row>
    <row r="142" ht="58" customHeight="1" spans="1:12">
      <c r="A142" s="11">
        <v>141</v>
      </c>
      <c r="B142" s="12" t="s">
        <v>919</v>
      </c>
      <c r="C142" s="12" t="s">
        <v>96</v>
      </c>
      <c r="D142" s="12" t="s">
        <v>920</v>
      </c>
      <c r="E142" s="12" t="s">
        <v>921</v>
      </c>
      <c r="F142" s="12" t="s">
        <v>827</v>
      </c>
      <c r="G142" s="12" t="s">
        <v>922</v>
      </c>
      <c r="H142" s="12" t="s">
        <v>38</v>
      </c>
      <c r="I142" s="12" t="s">
        <v>887</v>
      </c>
      <c r="J142" s="12" t="s">
        <v>71</v>
      </c>
      <c r="K142" s="12" t="s">
        <v>72</v>
      </c>
      <c r="L142" s="13">
        <v>46252</v>
      </c>
    </row>
    <row r="143" ht="58" customHeight="1" spans="1:12">
      <c r="A143" s="11">
        <v>142</v>
      </c>
      <c r="B143" s="12" t="s">
        <v>923</v>
      </c>
      <c r="C143" s="12" t="s">
        <v>924</v>
      </c>
      <c r="D143" s="12" t="s">
        <v>925</v>
      </c>
      <c r="E143" s="12" t="s">
        <v>926</v>
      </c>
      <c r="F143" s="12" t="s">
        <v>77</v>
      </c>
      <c r="G143" s="12" t="s">
        <v>927</v>
      </c>
      <c r="H143" s="12" t="s">
        <v>38</v>
      </c>
      <c r="I143" s="12" t="s">
        <v>916</v>
      </c>
      <c r="J143" s="12" t="s">
        <v>363</v>
      </c>
      <c r="K143" s="12" t="s">
        <v>80</v>
      </c>
      <c r="L143" s="13">
        <v>46252</v>
      </c>
    </row>
    <row r="144" ht="58" customHeight="1" spans="1:12">
      <c r="A144" s="11">
        <v>143</v>
      </c>
      <c r="B144" s="12" t="s">
        <v>928</v>
      </c>
      <c r="C144" s="12" t="s">
        <v>929</v>
      </c>
      <c r="D144" s="12" t="s">
        <v>930</v>
      </c>
      <c r="E144" s="12" t="s">
        <v>931</v>
      </c>
      <c r="F144" s="12" t="s">
        <v>77</v>
      </c>
      <c r="G144" s="12" t="s">
        <v>932</v>
      </c>
      <c r="H144" s="12" t="s">
        <v>38</v>
      </c>
      <c r="I144" s="12" t="s">
        <v>916</v>
      </c>
      <c r="J144" s="12" t="s">
        <v>933</v>
      </c>
      <c r="K144" s="12" t="s">
        <v>80</v>
      </c>
      <c r="L144" s="13">
        <v>46252</v>
      </c>
    </row>
    <row r="145" ht="58" customHeight="1" spans="1:12">
      <c r="A145" s="11">
        <v>144</v>
      </c>
      <c r="B145" s="12" t="s">
        <v>934</v>
      </c>
      <c r="C145" s="12" t="s">
        <v>679</v>
      </c>
      <c r="D145" s="12" t="s">
        <v>935</v>
      </c>
      <c r="E145" s="12" t="s">
        <v>936</v>
      </c>
      <c r="F145" s="12" t="s">
        <v>215</v>
      </c>
      <c r="G145" s="12" t="s">
        <v>937</v>
      </c>
      <c r="H145" s="12" t="s">
        <v>38</v>
      </c>
      <c r="I145" s="12" t="s">
        <v>916</v>
      </c>
      <c r="J145" s="12" t="s">
        <v>270</v>
      </c>
      <c r="K145" s="12" t="s">
        <v>938</v>
      </c>
      <c r="L145" s="13">
        <v>46252</v>
      </c>
    </row>
    <row r="146" ht="58" customHeight="1" spans="1:12">
      <c r="A146" s="11">
        <v>145</v>
      </c>
      <c r="B146" s="12" t="s">
        <v>939</v>
      </c>
      <c r="C146" s="12" t="s">
        <v>96</v>
      </c>
      <c r="D146" s="12" t="s">
        <v>940</v>
      </c>
      <c r="E146" s="12" t="s">
        <v>516</v>
      </c>
      <c r="F146" s="12" t="s">
        <v>941</v>
      </c>
      <c r="G146" s="12" t="s">
        <v>942</v>
      </c>
      <c r="H146" s="12" t="s">
        <v>38</v>
      </c>
      <c r="I146" s="12" t="s">
        <v>916</v>
      </c>
      <c r="J146" s="12" t="s">
        <v>93</v>
      </c>
      <c r="K146" s="12" t="s">
        <v>94</v>
      </c>
      <c r="L146" s="13">
        <v>46252</v>
      </c>
    </row>
    <row r="147" ht="58" customHeight="1" spans="1:12">
      <c r="A147" s="11">
        <v>146</v>
      </c>
      <c r="B147" s="12" t="s">
        <v>943</v>
      </c>
      <c r="C147" s="12" t="s">
        <v>944</v>
      </c>
      <c r="D147" s="12" t="s">
        <v>945</v>
      </c>
      <c r="E147" s="12" t="s">
        <v>946</v>
      </c>
      <c r="F147" s="12" t="s">
        <v>947</v>
      </c>
      <c r="G147" s="12" t="s">
        <v>948</v>
      </c>
      <c r="H147" s="12" t="s">
        <v>38</v>
      </c>
      <c r="I147" s="12" t="s">
        <v>916</v>
      </c>
      <c r="J147" s="12" t="s">
        <v>202</v>
      </c>
      <c r="K147" s="12" t="s">
        <v>94</v>
      </c>
      <c r="L147" s="13">
        <v>46252</v>
      </c>
    </row>
    <row r="148" ht="58" customHeight="1" spans="1:12">
      <c r="A148" s="11">
        <v>147</v>
      </c>
      <c r="B148" s="12" t="s">
        <v>949</v>
      </c>
      <c r="C148" s="12" t="s">
        <v>582</v>
      </c>
      <c r="D148" s="12" t="s">
        <v>950</v>
      </c>
      <c r="E148" s="12" t="s">
        <v>951</v>
      </c>
      <c r="F148" s="12" t="s">
        <v>77</v>
      </c>
      <c r="G148" s="12" t="s">
        <v>952</v>
      </c>
      <c r="H148" s="12" t="s">
        <v>38</v>
      </c>
      <c r="I148" s="12" t="s">
        <v>916</v>
      </c>
      <c r="J148" s="12" t="s">
        <v>93</v>
      </c>
      <c r="K148" s="12" t="s">
        <v>765</v>
      </c>
      <c r="L148" s="13">
        <v>46252</v>
      </c>
    </row>
    <row r="149" ht="58" customHeight="1" spans="1:12">
      <c r="A149" s="11">
        <v>148</v>
      </c>
      <c r="B149" s="12" t="s">
        <v>953</v>
      </c>
      <c r="C149" s="12" t="s">
        <v>954</v>
      </c>
      <c r="D149" s="12" t="s">
        <v>955</v>
      </c>
      <c r="E149" s="12" t="s">
        <v>956</v>
      </c>
      <c r="F149" s="12" t="s">
        <v>77</v>
      </c>
      <c r="G149" s="12" t="s">
        <v>957</v>
      </c>
      <c r="H149" s="12" t="s">
        <v>38</v>
      </c>
      <c r="I149" s="12" t="s">
        <v>916</v>
      </c>
      <c r="J149" s="12" t="s">
        <v>202</v>
      </c>
      <c r="K149" s="12" t="s">
        <v>958</v>
      </c>
      <c r="L149" s="13">
        <v>46252</v>
      </c>
    </row>
    <row r="150" ht="58" customHeight="1" spans="1:12">
      <c r="A150" s="11">
        <v>149</v>
      </c>
      <c r="B150" s="12" t="s">
        <v>959</v>
      </c>
      <c r="C150" s="12" t="s">
        <v>960</v>
      </c>
      <c r="D150" s="12" t="s">
        <v>961</v>
      </c>
      <c r="E150" s="12" t="s">
        <v>962</v>
      </c>
      <c r="F150" s="12" t="s">
        <v>963</v>
      </c>
      <c r="G150" s="12" t="s">
        <v>964</v>
      </c>
      <c r="H150" s="12" t="s">
        <v>38</v>
      </c>
      <c r="I150" s="12" t="s">
        <v>916</v>
      </c>
      <c r="J150" s="12" t="s">
        <v>503</v>
      </c>
      <c r="K150" s="12" t="s">
        <v>965</v>
      </c>
      <c r="L150" s="13">
        <v>46252</v>
      </c>
    </row>
    <row r="151" ht="58" customHeight="1" spans="1:12">
      <c r="A151" s="11">
        <v>150</v>
      </c>
      <c r="B151" s="12" t="s">
        <v>966</v>
      </c>
      <c r="C151" s="12" t="s">
        <v>149</v>
      </c>
      <c r="D151" s="12" t="s">
        <v>967</v>
      </c>
      <c r="E151" s="12" t="s">
        <v>227</v>
      </c>
      <c r="F151" s="12" t="s">
        <v>968</v>
      </c>
      <c r="G151" s="12" t="s">
        <v>969</v>
      </c>
      <c r="H151" s="12" t="s">
        <v>38</v>
      </c>
      <c r="I151" s="12" t="s">
        <v>916</v>
      </c>
      <c r="J151" s="12" t="s">
        <v>93</v>
      </c>
      <c r="K151" s="12" t="s">
        <v>94</v>
      </c>
      <c r="L151" s="13">
        <v>46252</v>
      </c>
    </row>
    <row r="152" ht="58" customHeight="1" spans="1:12">
      <c r="A152" s="11">
        <v>151</v>
      </c>
      <c r="B152" s="12" t="s">
        <v>970</v>
      </c>
      <c r="C152" s="12" t="s">
        <v>971</v>
      </c>
      <c r="D152" s="12" t="s">
        <v>972</v>
      </c>
      <c r="E152" s="12" t="s">
        <v>973</v>
      </c>
      <c r="F152" s="12" t="s">
        <v>974</v>
      </c>
      <c r="G152" s="12" t="s">
        <v>975</v>
      </c>
      <c r="H152" s="12" t="s">
        <v>38</v>
      </c>
      <c r="I152" s="12" t="s">
        <v>916</v>
      </c>
      <c r="J152" s="12" t="s">
        <v>976</v>
      </c>
      <c r="K152" s="12" t="s">
        <v>977</v>
      </c>
      <c r="L152" s="13">
        <v>46252</v>
      </c>
    </row>
    <row r="153" ht="58" customHeight="1" spans="1:12">
      <c r="A153" s="11">
        <v>152</v>
      </c>
      <c r="B153" s="12" t="s">
        <v>978</v>
      </c>
      <c r="C153" s="12" t="s">
        <v>103</v>
      </c>
      <c r="D153" s="12" t="s">
        <v>979</v>
      </c>
      <c r="E153" s="12" t="s">
        <v>980</v>
      </c>
      <c r="F153" s="12" t="s">
        <v>981</v>
      </c>
      <c r="G153" s="12" t="s">
        <v>982</v>
      </c>
      <c r="H153" s="12" t="s">
        <v>38</v>
      </c>
      <c r="I153" s="12" t="s">
        <v>916</v>
      </c>
      <c r="J153" s="12" t="s">
        <v>93</v>
      </c>
      <c r="K153" s="12" t="s">
        <v>983</v>
      </c>
      <c r="L153" s="13">
        <v>46252</v>
      </c>
    </row>
    <row r="154" ht="58" customHeight="1" spans="1:12">
      <c r="A154" s="11">
        <v>153</v>
      </c>
      <c r="B154" s="12" t="s">
        <v>984</v>
      </c>
      <c r="C154" s="12" t="s">
        <v>323</v>
      </c>
      <c r="D154" s="12" t="s">
        <v>985</v>
      </c>
      <c r="E154" s="12" t="s">
        <v>227</v>
      </c>
      <c r="F154" s="12" t="s">
        <v>986</v>
      </c>
      <c r="G154" s="12" t="s">
        <v>987</v>
      </c>
      <c r="H154" s="12" t="s">
        <v>38</v>
      </c>
      <c r="I154" s="12" t="s">
        <v>916</v>
      </c>
      <c r="J154" s="12" t="s">
        <v>93</v>
      </c>
      <c r="K154" s="12" t="s">
        <v>988</v>
      </c>
      <c r="L154" s="13">
        <v>46252</v>
      </c>
    </row>
    <row r="155" ht="58" customHeight="1" spans="1:12">
      <c r="A155" s="11">
        <v>154</v>
      </c>
      <c r="B155" s="12" t="s">
        <v>989</v>
      </c>
      <c r="C155" s="12" t="s">
        <v>990</v>
      </c>
      <c r="D155" s="12" t="s">
        <v>991</v>
      </c>
      <c r="E155" s="12" t="s">
        <v>535</v>
      </c>
      <c r="F155" s="12" t="s">
        <v>992</v>
      </c>
      <c r="G155" s="12" t="s">
        <v>993</v>
      </c>
      <c r="H155" s="12" t="s">
        <v>38</v>
      </c>
      <c r="I155" s="12" t="s">
        <v>916</v>
      </c>
      <c r="J155" s="12" t="s">
        <v>93</v>
      </c>
      <c r="K155" s="12" t="s">
        <v>94</v>
      </c>
      <c r="L155" s="13">
        <v>46252</v>
      </c>
    </row>
    <row r="156" ht="58" customHeight="1" spans="1:12">
      <c r="A156" s="11">
        <v>155</v>
      </c>
      <c r="B156" s="12" t="s">
        <v>994</v>
      </c>
      <c r="C156" s="12" t="s">
        <v>238</v>
      </c>
      <c r="D156" s="12" t="s">
        <v>995</v>
      </c>
      <c r="E156" s="12" t="s">
        <v>996</v>
      </c>
      <c r="F156" s="12" t="s">
        <v>997</v>
      </c>
      <c r="G156" s="12" t="s">
        <v>998</v>
      </c>
      <c r="H156" s="12" t="s">
        <v>40</v>
      </c>
      <c r="I156" s="12" t="s">
        <v>999</v>
      </c>
      <c r="J156" s="12" t="s">
        <v>202</v>
      </c>
      <c r="K156" s="12" t="s">
        <v>1000</v>
      </c>
      <c r="L156" s="13">
        <v>46252</v>
      </c>
    </row>
    <row r="157" ht="58" customHeight="1" spans="1:12">
      <c r="A157" s="11">
        <v>156</v>
      </c>
      <c r="B157" s="12" t="s">
        <v>1001</v>
      </c>
      <c r="C157" s="12" t="s">
        <v>65</v>
      </c>
      <c r="D157" s="12" t="s">
        <v>1002</v>
      </c>
      <c r="E157" s="12" t="s">
        <v>1003</v>
      </c>
      <c r="F157" s="12" t="s">
        <v>77</v>
      </c>
      <c r="G157" s="12" t="s">
        <v>1004</v>
      </c>
      <c r="H157" s="12" t="s">
        <v>41</v>
      </c>
      <c r="I157" s="12" t="s">
        <v>1005</v>
      </c>
      <c r="J157" s="12" t="s">
        <v>93</v>
      </c>
      <c r="K157" s="12" t="s">
        <v>1006</v>
      </c>
      <c r="L157" s="13">
        <v>46252</v>
      </c>
    </row>
    <row r="158" ht="58" customHeight="1" spans="1:12">
      <c r="A158" s="11">
        <v>157</v>
      </c>
      <c r="B158" s="12" t="s">
        <v>1007</v>
      </c>
      <c r="C158" s="12" t="s">
        <v>628</v>
      </c>
      <c r="D158" s="12" t="s">
        <v>1008</v>
      </c>
      <c r="E158" s="12" t="s">
        <v>1009</v>
      </c>
      <c r="F158" s="12" t="s">
        <v>77</v>
      </c>
      <c r="G158" s="12" t="s">
        <v>1010</v>
      </c>
      <c r="H158" s="12" t="s">
        <v>41</v>
      </c>
      <c r="I158" s="12" t="s">
        <v>1005</v>
      </c>
      <c r="J158" s="12" t="s">
        <v>93</v>
      </c>
      <c r="K158" s="12" t="s">
        <v>1011</v>
      </c>
      <c r="L158" s="13">
        <v>46252</v>
      </c>
    </row>
    <row r="159" ht="58" customHeight="1" spans="1:12">
      <c r="A159" s="11">
        <v>158</v>
      </c>
      <c r="B159" s="12" t="s">
        <v>1012</v>
      </c>
      <c r="C159" s="12" t="s">
        <v>1013</v>
      </c>
      <c r="D159" s="12" t="s">
        <v>1014</v>
      </c>
      <c r="E159" s="12" t="s">
        <v>1015</v>
      </c>
      <c r="F159" s="12" t="s">
        <v>77</v>
      </c>
      <c r="G159" s="12" t="s">
        <v>1016</v>
      </c>
      <c r="H159" s="12" t="s">
        <v>42</v>
      </c>
      <c r="I159" s="12" t="s">
        <v>1017</v>
      </c>
      <c r="J159" s="12" t="s">
        <v>236</v>
      </c>
      <c r="K159" s="12" t="s">
        <v>1018</v>
      </c>
      <c r="L159" s="13">
        <v>46252</v>
      </c>
    </row>
    <row r="160" ht="58" customHeight="1" spans="1:12">
      <c r="A160" s="11">
        <v>159</v>
      </c>
      <c r="B160" s="12" t="s">
        <v>1019</v>
      </c>
      <c r="C160" s="12" t="s">
        <v>773</v>
      </c>
      <c r="D160" s="12" t="s">
        <v>1020</v>
      </c>
      <c r="E160" s="12" t="s">
        <v>1021</v>
      </c>
      <c r="F160" s="12" t="s">
        <v>1022</v>
      </c>
      <c r="G160" s="12" t="s">
        <v>1023</v>
      </c>
      <c r="H160" s="12" t="s">
        <v>42</v>
      </c>
      <c r="I160" s="12" t="s">
        <v>1017</v>
      </c>
      <c r="J160" s="12" t="s">
        <v>93</v>
      </c>
      <c r="K160" s="12" t="s">
        <v>94</v>
      </c>
      <c r="L160" s="13">
        <v>46252</v>
      </c>
    </row>
    <row r="161" ht="58" customHeight="1" spans="1:12">
      <c r="A161" s="11">
        <v>160</v>
      </c>
      <c r="B161" s="12" t="s">
        <v>1024</v>
      </c>
      <c r="C161" s="12" t="s">
        <v>96</v>
      </c>
      <c r="D161" s="12" t="s">
        <v>1025</v>
      </c>
      <c r="E161" s="12" t="s">
        <v>1026</v>
      </c>
      <c r="F161" s="12" t="s">
        <v>1027</v>
      </c>
      <c r="G161" s="12" t="s">
        <v>1028</v>
      </c>
      <c r="H161" s="12" t="s">
        <v>42</v>
      </c>
      <c r="I161" s="12" t="s">
        <v>1017</v>
      </c>
      <c r="J161" s="12" t="s">
        <v>93</v>
      </c>
      <c r="K161" s="12" t="s">
        <v>1029</v>
      </c>
      <c r="L161" s="13">
        <v>46252</v>
      </c>
    </row>
    <row r="162" ht="58" customHeight="1" spans="1:12">
      <c r="A162" s="11">
        <v>161</v>
      </c>
      <c r="B162" s="12" t="s">
        <v>1030</v>
      </c>
      <c r="C162" s="12" t="s">
        <v>300</v>
      </c>
      <c r="D162" s="12" t="s">
        <v>1031</v>
      </c>
      <c r="E162" s="12" t="s">
        <v>1032</v>
      </c>
      <c r="F162" s="12" t="s">
        <v>1033</v>
      </c>
      <c r="G162" s="12" t="s">
        <v>1034</v>
      </c>
      <c r="H162" s="12" t="s">
        <v>42</v>
      </c>
      <c r="I162" s="12" t="s">
        <v>1017</v>
      </c>
      <c r="J162" s="12" t="s">
        <v>93</v>
      </c>
      <c r="K162" s="12" t="s">
        <v>1035</v>
      </c>
      <c r="L162" s="13">
        <v>46252</v>
      </c>
    </row>
    <row r="163" ht="58" customHeight="1" spans="1:12">
      <c r="A163" s="11">
        <v>162</v>
      </c>
      <c r="B163" s="12" t="s">
        <v>1036</v>
      </c>
      <c r="C163" s="12" t="s">
        <v>1037</v>
      </c>
      <c r="D163" s="12" t="s">
        <v>1038</v>
      </c>
      <c r="E163" s="12" t="s">
        <v>1039</v>
      </c>
      <c r="F163" s="12" t="s">
        <v>215</v>
      </c>
      <c r="G163" s="12" t="s">
        <v>1040</v>
      </c>
      <c r="H163" s="12" t="s">
        <v>42</v>
      </c>
      <c r="I163" s="12" t="s">
        <v>1017</v>
      </c>
      <c r="J163" s="12" t="s">
        <v>93</v>
      </c>
      <c r="K163" s="12" t="s">
        <v>1041</v>
      </c>
      <c r="L163" s="13">
        <v>46252</v>
      </c>
    </row>
    <row r="164" ht="58" customHeight="1" spans="1:12">
      <c r="A164" s="11">
        <v>163</v>
      </c>
      <c r="B164" s="12" t="s">
        <v>1042</v>
      </c>
      <c r="C164" s="12" t="s">
        <v>1043</v>
      </c>
      <c r="D164" s="12" t="s">
        <v>1044</v>
      </c>
      <c r="E164" s="12" t="s">
        <v>1045</v>
      </c>
      <c r="F164" s="12" t="s">
        <v>77</v>
      </c>
      <c r="G164" s="12" t="s">
        <v>1046</v>
      </c>
      <c r="H164" s="12" t="s">
        <v>42</v>
      </c>
      <c r="I164" s="12" t="s">
        <v>1017</v>
      </c>
      <c r="J164" s="12" t="s">
        <v>93</v>
      </c>
      <c r="K164" s="12" t="s">
        <v>1047</v>
      </c>
      <c r="L164" s="13">
        <v>46252</v>
      </c>
    </row>
    <row r="165" ht="58" customHeight="1" spans="1:12">
      <c r="A165" s="11">
        <v>164</v>
      </c>
      <c r="B165" s="12" t="s">
        <v>1048</v>
      </c>
      <c r="C165" s="12" t="s">
        <v>1049</v>
      </c>
      <c r="D165" s="12" t="s">
        <v>1050</v>
      </c>
      <c r="E165" s="12" t="s">
        <v>1051</v>
      </c>
      <c r="F165" s="12" t="s">
        <v>215</v>
      </c>
      <c r="G165" s="12" t="s">
        <v>1052</v>
      </c>
      <c r="H165" s="12" t="s">
        <v>42</v>
      </c>
      <c r="I165" s="12" t="s">
        <v>1017</v>
      </c>
      <c r="J165" s="12" t="s">
        <v>93</v>
      </c>
      <c r="K165" s="12" t="s">
        <v>1053</v>
      </c>
      <c r="L165" s="13">
        <v>46252</v>
      </c>
    </row>
    <row r="166" ht="58" customHeight="1" spans="1:12">
      <c r="A166" s="11">
        <v>165</v>
      </c>
      <c r="B166" s="12" t="s">
        <v>1054</v>
      </c>
      <c r="C166" s="12" t="s">
        <v>1055</v>
      </c>
      <c r="D166" s="12" t="s">
        <v>1056</v>
      </c>
      <c r="E166" s="12" t="s">
        <v>1057</v>
      </c>
      <c r="F166" s="12" t="s">
        <v>77</v>
      </c>
      <c r="G166" s="12" t="s">
        <v>1058</v>
      </c>
      <c r="H166" s="12" t="s">
        <v>42</v>
      </c>
      <c r="I166" s="12" t="s">
        <v>1017</v>
      </c>
      <c r="J166" s="12" t="s">
        <v>202</v>
      </c>
      <c r="K166" s="12" t="s">
        <v>1059</v>
      </c>
      <c r="L166" s="13">
        <v>46252</v>
      </c>
    </row>
    <row r="167" ht="58" customHeight="1" spans="1:12">
      <c r="A167" s="11">
        <v>166</v>
      </c>
      <c r="B167" s="12" t="s">
        <v>1060</v>
      </c>
      <c r="C167" s="12" t="s">
        <v>290</v>
      </c>
      <c r="D167" s="12" t="s">
        <v>1061</v>
      </c>
      <c r="E167" s="12" t="s">
        <v>1062</v>
      </c>
      <c r="F167" s="12" t="s">
        <v>1063</v>
      </c>
      <c r="G167" s="12" t="s">
        <v>1064</v>
      </c>
      <c r="H167" s="12" t="s">
        <v>42</v>
      </c>
      <c r="I167" s="12" t="s">
        <v>1017</v>
      </c>
      <c r="J167" s="12" t="s">
        <v>93</v>
      </c>
      <c r="K167" s="12" t="s">
        <v>1065</v>
      </c>
      <c r="L167" s="13">
        <v>46252</v>
      </c>
    </row>
    <row r="168" ht="58" customHeight="1" spans="1:12">
      <c r="A168" s="11">
        <v>167</v>
      </c>
      <c r="B168" s="12" t="s">
        <v>1066</v>
      </c>
      <c r="C168" s="12" t="s">
        <v>773</v>
      </c>
      <c r="D168" s="12" t="s">
        <v>1067</v>
      </c>
      <c r="E168" s="12" t="s">
        <v>453</v>
      </c>
      <c r="F168" s="12" t="s">
        <v>1068</v>
      </c>
      <c r="G168" s="12" t="s">
        <v>1069</v>
      </c>
      <c r="H168" s="12" t="s">
        <v>42</v>
      </c>
      <c r="I168" s="12" t="s">
        <v>1017</v>
      </c>
      <c r="J168" s="12" t="s">
        <v>93</v>
      </c>
      <c r="K168" s="12" t="s">
        <v>94</v>
      </c>
      <c r="L168" s="13">
        <v>46252</v>
      </c>
    </row>
    <row r="169" ht="58" customHeight="1" spans="1:12">
      <c r="A169" s="11">
        <v>168</v>
      </c>
      <c r="B169" s="12" t="s">
        <v>1070</v>
      </c>
      <c r="C169" s="12" t="s">
        <v>1071</v>
      </c>
      <c r="D169" s="12" t="s">
        <v>1072</v>
      </c>
      <c r="E169" s="12" t="s">
        <v>1073</v>
      </c>
      <c r="F169" s="12" t="s">
        <v>547</v>
      </c>
      <c r="G169" s="12" t="s">
        <v>1074</v>
      </c>
      <c r="H169" s="12" t="s">
        <v>42</v>
      </c>
      <c r="I169" s="12" t="s">
        <v>1017</v>
      </c>
      <c r="J169" s="12" t="s">
        <v>71</v>
      </c>
      <c r="K169" s="12" t="s">
        <v>72</v>
      </c>
      <c r="L169" s="13">
        <v>46252</v>
      </c>
    </row>
    <row r="170" ht="58" customHeight="1" spans="1:12">
      <c r="A170" s="11">
        <v>169</v>
      </c>
      <c r="B170" s="12" t="s">
        <v>1075</v>
      </c>
      <c r="C170" s="12" t="s">
        <v>1076</v>
      </c>
      <c r="D170" s="12" t="s">
        <v>1077</v>
      </c>
      <c r="E170" s="12" t="s">
        <v>1078</v>
      </c>
      <c r="F170" s="12" t="s">
        <v>215</v>
      </c>
      <c r="G170" s="12" t="s">
        <v>1079</v>
      </c>
      <c r="H170" s="12" t="s">
        <v>43</v>
      </c>
      <c r="I170" s="12" t="s">
        <v>1080</v>
      </c>
      <c r="J170" s="12" t="s">
        <v>262</v>
      </c>
      <c r="K170" s="12" t="s">
        <v>1081</v>
      </c>
      <c r="L170" s="13">
        <v>46252</v>
      </c>
    </row>
    <row r="171" ht="58" customHeight="1" spans="1:12">
      <c r="A171" s="11">
        <v>170</v>
      </c>
      <c r="B171" s="12" t="s">
        <v>1082</v>
      </c>
      <c r="C171" s="12" t="s">
        <v>1083</v>
      </c>
      <c r="D171" s="12" t="s">
        <v>1084</v>
      </c>
      <c r="E171" s="12" t="s">
        <v>1085</v>
      </c>
      <c r="F171" s="12" t="s">
        <v>215</v>
      </c>
      <c r="G171" s="12" t="s">
        <v>1086</v>
      </c>
      <c r="H171" s="12" t="s">
        <v>44</v>
      </c>
      <c r="I171" s="12" t="s">
        <v>1087</v>
      </c>
      <c r="J171" s="12" t="s">
        <v>262</v>
      </c>
      <c r="K171" s="12" t="s">
        <v>1088</v>
      </c>
      <c r="L171" s="13">
        <v>46252</v>
      </c>
    </row>
    <row r="172" ht="58" customHeight="1" spans="1:12">
      <c r="A172" s="11">
        <v>171</v>
      </c>
      <c r="B172" s="12" t="s">
        <v>1089</v>
      </c>
      <c r="C172" s="12" t="s">
        <v>1090</v>
      </c>
      <c r="D172" s="12" t="s">
        <v>1091</v>
      </c>
      <c r="E172" s="12" t="s">
        <v>1092</v>
      </c>
      <c r="F172" s="12" t="s">
        <v>1093</v>
      </c>
      <c r="G172" s="12" t="s">
        <v>1094</v>
      </c>
      <c r="H172" s="12" t="s">
        <v>46</v>
      </c>
      <c r="I172" s="12" t="s">
        <v>1095</v>
      </c>
      <c r="J172" s="12" t="s">
        <v>93</v>
      </c>
      <c r="K172" s="12" t="s">
        <v>1096</v>
      </c>
      <c r="L172" s="13">
        <v>46252</v>
      </c>
    </row>
    <row r="173" ht="58" customHeight="1" spans="1:12">
      <c r="A173" s="5">
        <v>172</v>
      </c>
      <c r="B173" s="6" t="s">
        <v>1097</v>
      </c>
      <c r="C173" s="6" t="s">
        <v>582</v>
      </c>
      <c r="D173" s="6" t="s">
        <v>1098</v>
      </c>
      <c r="E173" s="6" t="s">
        <v>1099</v>
      </c>
      <c r="F173" s="6" t="s">
        <v>1100</v>
      </c>
      <c r="G173" s="6" t="s">
        <v>1101</v>
      </c>
      <c r="H173" s="6" t="s">
        <v>46</v>
      </c>
      <c r="I173" s="6" t="s">
        <v>1095</v>
      </c>
      <c r="J173" s="6" t="s">
        <v>93</v>
      </c>
      <c r="K173" s="6" t="s">
        <v>94</v>
      </c>
      <c r="L173" s="7">
        <v>46252</v>
      </c>
    </row>
    <row r="174" ht="56" spans="1:12">
      <c r="B174" s="14" t="s">
        <v>1102</v>
      </c>
      <c r="C174" s="15" t="s">
        <v>1103</v>
      </c>
      <c r="D174" s="16" t="s">
        <v>1104</v>
      </c>
      <c r="E174" t="s">
        <v>596</v>
      </c>
      <c r="F174" s="16" t="s">
        <v>1105</v>
      </c>
      <c r="G174" s="16" t="s">
        <v>1106</v>
      </c>
      <c r="H174" t="s">
        <v>28</v>
      </c>
      <c r="I174" t="s">
        <v>28</v>
      </c>
      <c r="J174" s="17" t="s">
        <v>93</v>
      </c>
      <c r="K174" s="18" t="s">
        <v>1107</v>
      </c>
      <c r="L174" s="19">
        <v>46252</v>
      </c>
    </row>
  </sheetData>
  <hyperlinks>
    <hyperlink ref="K174" r:id="rId2" display="https://www.eegion.com/"/>
  </hyperlink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showGridLines="0" workbookViewId="0">
      <selection activeCell="A1" sqref="A1"/>
    </sheetView>
  </sheetViews>
  <sheetFormatPr defaultColWidth="9" defaultRowHeight="14.5"/>
  <cols>
    <col min="1" max="1" width="7" customWidth="1"/>
    <col min="2" max="2" width="30" customWidth="1"/>
    <col min="3" max="3" width="18" customWidth="1"/>
    <col min="4" max="4" width="48" customWidth="1"/>
    <col min="5" max="5" width="34" customWidth="1"/>
    <col min="6" max="6" width="40" customWidth="1"/>
    <col min="7" max="7" width="50" customWidth="1"/>
    <col min="8" max="8" width="13" customWidth="1"/>
    <col min="9" max="9" width="14" customWidth="1"/>
    <col min="10" max="10" width="16" customWidth="1"/>
    <col min="11" max="11" width="60" customWidth="1"/>
    <col min="12" max="12" width="13" customWidth="1"/>
  </cols>
  <sheetData>
    <row r="1" ht="30" customHeight="1" spans="1:1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11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1</v>
      </c>
    </row>
    <row r="2" ht="58" customHeight="1" spans="1:12">
      <c r="A2" s="2">
        <v>1</v>
      </c>
      <c r="B2" s="3" t="s">
        <v>64</v>
      </c>
      <c r="C2" s="3" t="s">
        <v>65</v>
      </c>
      <c r="D2" s="3" t="s">
        <v>66</v>
      </c>
      <c r="E2" s="3" t="s">
        <v>67</v>
      </c>
      <c r="F2" s="3" t="s">
        <v>68</v>
      </c>
      <c r="G2" s="3" t="s">
        <v>69</v>
      </c>
      <c r="H2" s="3" t="s">
        <v>20</v>
      </c>
      <c r="I2" s="3" t="s">
        <v>70</v>
      </c>
      <c r="J2" s="3" t="s">
        <v>71</v>
      </c>
      <c r="K2" s="3" t="s">
        <v>72</v>
      </c>
      <c r="L2" s="4">
        <v>46252</v>
      </c>
    </row>
    <row r="3" ht="58" customHeight="1" spans="1:12">
      <c r="A3" s="11">
        <v>2</v>
      </c>
      <c r="B3" s="12" t="s">
        <v>73</v>
      </c>
      <c r="C3" s="12" t="s">
        <v>74</v>
      </c>
      <c r="D3" s="12" t="s">
        <v>75</v>
      </c>
      <c r="E3" s="12" t="s">
        <v>76</v>
      </c>
      <c r="F3" s="12" t="s">
        <v>77</v>
      </c>
      <c r="G3" s="12" t="s">
        <v>78</v>
      </c>
      <c r="H3" s="12" t="s">
        <v>20</v>
      </c>
      <c r="I3" s="12" t="s">
        <v>70</v>
      </c>
      <c r="J3" s="12" t="s">
        <v>79</v>
      </c>
      <c r="K3" s="12" t="s">
        <v>80</v>
      </c>
      <c r="L3" s="13">
        <v>46252</v>
      </c>
    </row>
    <row r="4" ht="58" customHeight="1" spans="1:12">
      <c r="A4" s="11">
        <v>3</v>
      </c>
      <c r="B4" s="12" t="s">
        <v>81</v>
      </c>
      <c r="C4" s="12" t="s">
        <v>82</v>
      </c>
      <c r="D4" s="12" t="s">
        <v>83</v>
      </c>
      <c r="E4" s="12" t="s">
        <v>84</v>
      </c>
      <c r="F4" s="12" t="s">
        <v>77</v>
      </c>
      <c r="G4" s="12" t="s">
        <v>85</v>
      </c>
      <c r="H4" s="12" t="s">
        <v>20</v>
      </c>
      <c r="I4" s="12" t="s">
        <v>70</v>
      </c>
      <c r="J4" s="12" t="s">
        <v>86</v>
      </c>
      <c r="K4" s="12" t="s">
        <v>87</v>
      </c>
      <c r="L4" s="13">
        <v>46252</v>
      </c>
    </row>
    <row r="5" ht="58" customHeight="1" spans="1:12">
      <c r="A5" s="11">
        <v>4</v>
      </c>
      <c r="B5" s="12" t="s">
        <v>88</v>
      </c>
      <c r="C5" s="12" t="s">
        <v>65</v>
      </c>
      <c r="D5" s="12" t="s">
        <v>89</v>
      </c>
      <c r="E5" s="12" t="s">
        <v>90</v>
      </c>
      <c r="F5" s="12" t="s">
        <v>91</v>
      </c>
      <c r="G5" s="12" t="s">
        <v>92</v>
      </c>
      <c r="H5" s="12" t="s">
        <v>20</v>
      </c>
      <c r="I5" s="12" t="s">
        <v>70</v>
      </c>
      <c r="J5" s="12" t="s">
        <v>93</v>
      </c>
      <c r="K5" s="12" t="s">
        <v>94</v>
      </c>
      <c r="L5" s="13">
        <v>46252</v>
      </c>
    </row>
    <row r="6" ht="58" customHeight="1" spans="1:12">
      <c r="A6" s="11">
        <v>5</v>
      </c>
      <c r="B6" s="12" t="s">
        <v>95</v>
      </c>
      <c r="C6" s="12" t="s">
        <v>96</v>
      </c>
      <c r="D6" s="12" t="s">
        <v>97</v>
      </c>
      <c r="E6" s="12" t="s">
        <v>98</v>
      </c>
      <c r="F6" s="12" t="s">
        <v>99</v>
      </c>
      <c r="G6" s="12" t="s">
        <v>100</v>
      </c>
      <c r="H6" s="12" t="s">
        <v>20</v>
      </c>
      <c r="I6" s="12" t="s">
        <v>70</v>
      </c>
      <c r="J6" s="12" t="s">
        <v>93</v>
      </c>
      <c r="K6" s="12" t="s">
        <v>101</v>
      </c>
      <c r="L6" s="13">
        <v>46252</v>
      </c>
    </row>
    <row r="7" ht="58" customHeight="1" spans="1:12">
      <c r="A7" s="11">
        <v>6</v>
      </c>
      <c r="B7" s="12" t="s">
        <v>102</v>
      </c>
      <c r="C7" s="12" t="s">
        <v>103</v>
      </c>
      <c r="D7" s="12" t="s">
        <v>104</v>
      </c>
      <c r="E7" s="12" t="s">
        <v>105</v>
      </c>
      <c r="F7" s="12" t="s">
        <v>106</v>
      </c>
      <c r="G7" s="12" t="s">
        <v>107</v>
      </c>
      <c r="H7" s="12" t="s">
        <v>20</v>
      </c>
      <c r="I7" s="12" t="s">
        <v>70</v>
      </c>
      <c r="J7" s="12" t="s">
        <v>93</v>
      </c>
      <c r="K7" s="12" t="s">
        <v>108</v>
      </c>
      <c r="L7" s="13">
        <v>46252</v>
      </c>
    </row>
    <row r="8" ht="58" customHeight="1" spans="1:12">
      <c r="A8" s="11">
        <v>7</v>
      </c>
      <c r="B8" s="12" t="s">
        <v>109</v>
      </c>
      <c r="C8" s="12" t="s">
        <v>110</v>
      </c>
      <c r="D8" s="12" t="s">
        <v>111</v>
      </c>
      <c r="E8" s="12" t="s">
        <v>112</v>
      </c>
      <c r="F8" s="12" t="s">
        <v>113</v>
      </c>
      <c r="G8" s="12" t="s">
        <v>114</v>
      </c>
      <c r="H8" s="12" t="s">
        <v>20</v>
      </c>
      <c r="I8" s="12" t="s">
        <v>70</v>
      </c>
      <c r="J8" s="12" t="s">
        <v>71</v>
      </c>
      <c r="K8" s="12" t="s">
        <v>115</v>
      </c>
      <c r="L8" s="13">
        <v>46252</v>
      </c>
    </row>
    <row r="9" ht="58" customHeight="1" spans="1:12">
      <c r="A9" s="11">
        <v>8</v>
      </c>
      <c r="B9" s="12" t="s">
        <v>116</v>
      </c>
      <c r="C9" s="12" t="s">
        <v>117</v>
      </c>
      <c r="D9" s="12" t="s">
        <v>118</v>
      </c>
      <c r="E9" s="12" t="s">
        <v>119</v>
      </c>
      <c r="F9" s="12" t="s">
        <v>77</v>
      </c>
      <c r="G9" s="12" t="s">
        <v>120</v>
      </c>
      <c r="H9" s="12" t="s">
        <v>20</v>
      </c>
      <c r="I9" s="12" t="s">
        <v>70</v>
      </c>
      <c r="J9" s="12" t="s">
        <v>121</v>
      </c>
      <c r="K9" s="12" t="s">
        <v>122</v>
      </c>
      <c r="L9" s="13">
        <v>46252</v>
      </c>
    </row>
    <row r="10" ht="58" customHeight="1" spans="1:12">
      <c r="A10" s="11">
        <v>9</v>
      </c>
      <c r="B10" s="12" t="s">
        <v>123</v>
      </c>
      <c r="C10" s="12" t="s">
        <v>96</v>
      </c>
      <c r="D10" s="12" t="s">
        <v>124</v>
      </c>
      <c r="E10" s="12" t="s">
        <v>125</v>
      </c>
      <c r="F10" s="12" t="s">
        <v>126</v>
      </c>
      <c r="G10" s="12" t="s">
        <v>127</v>
      </c>
      <c r="H10" s="12" t="s">
        <v>20</v>
      </c>
      <c r="I10" s="12" t="s">
        <v>70</v>
      </c>
      <c r="J10" s="12" t="s">
        <v>93</v>
      </c>
      <c r="K10" s="12" t="s">
        <v>128</v>
      </c>
      <c r="L10" s="13">
        <v>46252</v>
      </c>
    </row>
    <row r="11" ht="58" customHeight="1" spans="1:12">
      <c r="A11" s="11">
        <v>10</v>
      </c>
      <c r="B11" s="12" t="s">
        <v>129</v>
      </c>
      <c r="C11" s="12" t="s">
        <v>130</v>
      </c>
      <c r="D11" s="12" t="s">
        <v>131</v>
      </c>
      <c r="E11" s="12" t="s">
        <v>132</v>
      </c>
      <c r="F11" s="12" t="s">
        <v>133</v>
      </c>
      <c r="G11" s="12" t="s">
        <v>134</v>
      </c>
      <c r="H11" s="12" t="s">
        <v>20</v>
      </c>
      <c r="I11" s="12" t="s">
        <v>70</v>
      </c>
      <c r="J11" s="12" t="s">
        <v>93</v>
      </c>
      <c r="K11" s="12" t="s">
        <v>135</v>
      </c>
      <c r="L11" s="13">
        <v>46252</v>
      </c>
    </row>
    <row r="12" ht="58" customHeight="1" spans="1:12">
      <c r="A12" s="11">
        <v>11</v>
      </c>
      <c r="B12" s="12" t="s">
        <v>136</v>
      </c>
      <c r="C12" s="12" t="s">
        <v>137</v>
      </c>
      <c r="D12" s="12" t="s">
        <v>138</v>
      </c>
      <c r="E12" s="12" t="s">
        <v>139</v>
      </c>
      <c r="F12" s="12" t="s">
        <v>77</v>
      </c>
      <c r="G12" s="12" t="s">
        <v>140</v>
      </c>
      <c r="H12" s="12" t="s">
        <v>20</v>
      </c>
      <c r="I12" s="12" t="s">
        <v>70</v>
      </c>
      <c r="J12" s="12" t="s">
        <v>121</v>
      </c>
      <c r="K12" s="12" t="s">
        <v>141</v>
      </c>
      <c r="L12" s="13">
        <v>46252</v>
      </c>
    </row>
    <row r="13" ht="58" customHeight="1" spans="1:12">
      <c r="A13" s="11">
        <v>12</v>
      </c>
      <c r="B13" s="12" t="s">
        <v>142</v>
      </c>
      <c r="C13" s="12" t="s">
        <v>137</v>
      </c>
      <c r="D13" s="12" t="s">
        <v>143</v>
      </c>
      <c r="E13" s="12" t="s">
        <v>144</v>
      </c>
      <c r="F13" s="12" t="s">
        <v>145</v>
      </c>
      <c r="G13" s="12" t="s">
        <v>146</v>
      </c>
      <c r="H13" s="12" t="s">
        <v>20</v>
      </c>
      <c r="I13" s="12" t="s">
        <v>70</v>
      </c>
      <c r="J13" s="12" t="s">
        <v>93</v>
      </c>
      <c r="K13" s="12" t="s">
        <v>147</v>
      </c>
      <c r="L13" s="13">
        <v>46252</v>
      </c>
    </row>
    <row r="14" ht="58" customHeight="1" spans="1:12">
      <c r="A14" s="11">
        <v>13</v>
      </c>
      <c r="B14" s="12" t="s">
        <v>148</v>
      </c>
      <c r="C14" s="12" t="s">
        <v>149</v>
      </c>
      <c r="D14" s="12" t="s">
        <v>150</v>
      </c>
      <c r="E14" s="12" t="s">
        <v>151</v>
      </c>
      <c r="F14" s="12" t="s">
        <v>152</v>
      </c>
      <c r="G14" s="12" t="s">
        <v>153</v>
      </c>
      <c r="H14" s="12" t="s">
        <v>20</v>
      </c>
      <c r="I14" s="12" t="s">
        <v>70</v>
      </c>
      <c r="J14" s="12" t="s">
        <v>93</v>
      </c>
      <c r="K14" s="12" t="s">
        <v>154</v>
      </c>
      <c r="L14" s="13">
        <v>46252</v>
      </c>
    </row>
    <row r="15" ht="58" customHeight="1" spans="1:12">
      <c r="A15" s="11">
        <v>14</v>
      </c>
      <c r="B15" s="12" t="s">
        <v>155</v>
      </c>
      <c r="C15" s="12" t="s">
        <v>156</v>
      </c>
      <c r="D15" s="12" t="s">
        <v>157</v>
      </c>
      <c r="E15" s="12" t="s">
        <v>158</v>
      </c>
      <c r="F15" s="12" t="s">
        <v>159</v>
      </c>
      <c r="G15" s="12" t="s">
        <v>160</v>
      </c>
      <c r="H15" s="12" t="s">
        <v>20</v>
      </c>
      <c r="I15" s="12" t="s">
        <v>70</v>
      </c>
      <c r="J15" s="12" t="s">
        <v>93</v>
      </c>
      <c r="K15" s="12" t="s">
        <v>161</v>
      </c>
      <c r="L15" s="13">
        <v>46252</v>
      </c>
    </row>
    <row r="16" ht="58" customHeight="1" spans="1:12">
      <c r="A16" s="11">
        <v>15</v>
      </c>
      <c r="B16" s="12" t="s">
        <v>162</v>
      </c>
      <c r="C16" s="12" t="s">
        <v>163</v>
      </c>
      <c r="D16" s="12" t="s">
        <v>164</v>
      </c>
      <c r="E16" s="12" t="s">
        <v>165</v>
      </c>
      <c r="F16" s="12" t="s">
        <v>166</v>
      </c>
      <c r="G16" s="12" t="s">
        <v>167</v>
      </c>
      <c r="H16" s="12" t="s">
        <v>20</v>
      </c>
      <c r="I16" s="12" t="s">
        <v>70</v>
      </c>
      <c r="J16" s="12" t="s">
        <v>93</v>
      </c>
      <c r="K16" s="12" t="s">
        <v>94</v>
      </c>
      <c r="L16" s="13">
        <v>46252</v>
      </c>
    </row>
    <row r="17" ht="58" customHeight="1" spans="1:12">
      <c r="A17" s="11">
        <v>16</v>
      </c>
      <c r="B17" s="12" t="s">
        <v>168</v>
      </c>
      <c r="C17" s="12" t="s">
        <v>169</v>
      </c>
      <c r="D17" s="12" t="s">
        <v>170</v>
      </c>
      <c r="E17" s="12" t="s">
        <v>171</v>
      </c>
      <c r="F17" s="12" t="s">
        <v>172</v>
      </c>
      <c r="G17" s="12" t="s">
        <v>173</v>
      </c>
      <c r="H17" s="12" t="s">
        <v>20</v>
      </c>
      <c r="I17" s="12" t="s">
        <v>70</v>
      </c>
      <c r="J17" s="12" t="s">
        <v>71</v>
      </c>
      <c r="K17" s="12" t="s">
        <v>174</v>
      </c>
      <c r="L17" s="13">
        <v>46252</v>
      </c>
    </row>
    <row r="18" ht="58" customHeight="1" spans="1:12">
      <c r="A18" s="11">
        <v>17</v>
      </c>
      <c r="B18" s="12" t="s">
        <v>175</v>
      </c>
      <c r="C18" s="12" t="s">
        <v>176</v>
      </c>
      <c r="D18" s="12" t="s">
        <v>177</v>
      </c>
      <c r="E18" s="12" t="s">
        <v>178</v>
      </c>
      <c r="F18" s="12" t="s">
        <v>179</v>
      </c>
      <c r="G18" s="12" t="s">
        <v>180</v>
      </c>
      <c r="H18" s="12" t="s">
        <v>20</v>
      </c>
      <c r="I18" s="12" t="s">
        <v>70</v>
      </c>
      <c r="J18" s="12" t="s">
        <v>181</v>
      </c>
      <c r="K18" s="12" t="s">
        <v>174</v>
      </c>
      <c r="L18" s="13">
        <v>46252</v>
      </c>
    </row>
    <row r="19" ht="58" customHeight="1" spans="1:12">
      <c r="A19" s="11">
        <v>18</v>
      </c>
      <c r="B19" s="12" t="s">
        <v>182</v>
      </c>
      <c r="C19" s="12" t="s">
        <v>183</v>
      </c>
      <c r="D19" s="12" t="s">
        <v>184</v>
      </c>
      <c r="E19" s="12" t="s">
        <v>185</v>
      </c>
      <c r="F19" s="12" t="s">
        <v>77</v>
      </c>
      <c r="G19" s="12" t="s">
        <v>186</v>
      </c>
      <c r="H19" s="12" t="s">
        <v>20</v>
      </c>
      <c r="I19" s="12" t="s">
        <v>70</v>
      </c>
      <c r="J19" s="12" t="s">
        <v>86</v>
      </c>
      <c r="K19" s="12" t="s">
        <v>187</v>
      </c>
      <c r="L19" s="13">
        <v>46252</v>
      </c>
    </row>
    <row r="20" ht="58" customHeight="1" spans="1:12">
      <c r="A20" s="11">
        <v>19</v>
      </c>
      <c r="B20" s="12" t="s">
        <v>188</v>
      </c>
      <c r="C20" s="12" t="s">
        <v>189</v>
      </c>
      <c r="D20" s="12" t="s">
        <v>190</v>
      </c>
      <c r="E20" s="12" t="s">
        <v>191</v>
      </c>
      <c r="F20" s="12" t="s">
        <v>192</v>
      </c>
      <c r="G20" s="12" t="s">
        <v>193</v>
      </c>
      <c r="H20" s="12" t="s">
        <v>20</v>
      </c>
      <c r="I20" s="12" t="s">
        <v>70</v>
      </c>
      <c r="J20" s="12" t="s">
        <v>194</v>
      </c>
      <c r="K20" s="12" t="s">
        <v>195</v>
      </c>
      <c r="L20" s="13">
        <v>46252</v>
      </c>
    </row>
    <row r="21" ht="58" customHeight="1" spans="1:12">
      <c r="A21" s="5">
        <v>20</v>
      </c>
      <c r="B21" s="6" t="s">
        <v>196</v>
      </c>
      <c r="C21" s="6" t="s">
        <v>197</v>
      </c>
      <c r="D21" s="6" t="s">
        <v>198</v>
      </c>
      <c r="E21" s="6" t="s">
        <v>199</v>
      </c>
      <c r="F21" s="6" t="s">
        <v>200</v>
      </c>
      <c r="G21" s="6" t="s">
        <v>201</v>
      </c>
      <c r="H21" s="6" t="s">
        <v>20</v>
      </c>
      <c r="I21" s="6" t="s">
        <v>70</v>
      </c>
      <c r="J21" s="6" t="s">
        <v>202</v>
      </c>
      <c r="K21" s="6" t="s">
        <v>94</v>
      </c>
      <c r="L21" s="7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showGridLines="0" workbookViewId="0">
      <selection activeCell="A1" sqref="A1"/>
    </sheetView>
  </sheetViews>
  <sheetFormatPr defaultColWidth="9" defaultRowHeight="14.5" outlineLevelRow="7"/>
  <cols>
    <col min="1" max="1" width="7" customWidth="1"/>
    <col min="2" max="2" width="30" customWidth="1"/>
    <col min="3" max="3" width="18" customWidth="1"/>
    <col min="4" max="4" width="48" customWidth="1"/>
    <col min="5" max="5" width="34" customWidth="1"/>
    <col min="6" max="6" width="40" customWidth="1"/>
    <col min="7" max="7" width="50" customWidth="1"/>
    <col min="8" max="8" width="13" customWidth="1"/>
    <col min="9" max="9" width="14" customWidth="1"/>
    <col min="10" max="10" width="16" customWidth="1"/>
    <col min="11" max="11" width="60" customWidth="1"/>
    <col min="12" max="12" width="13" customWidth="1"/>
  </cols>
  <sheetData>
    <row r="1" ht="30" customHeight="1" spans="1:1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11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1</v>
      </c>
    </row>
    <row r="2" ht="58" customHeight="1" spans="1:12">
      <c r="A2" s="2">
        <v>1</v>
      </c>
      <c r="B2" s="3" t="s">
        <v>203</v>
      </c>
      <c r="C2" s="3" t="s">
        <v>204</v>
      </c>
      <c r="D2" s="3" t="s">
        <v>205</v>
      </c>
      <c r="E2" s="3" t="s">
        <v>206</v>
      </c>
      <c r="F2" s="3" t="s">
        <v>77</v>
      </c>
      <c r="G2" s="3" t="s">
        <v>207</v>
      </c>
      <c r="H2" s="3" t="s">
        <v>21</v>
      </c>
      <c r="I2" s="3" t="s">
        <v>208</v>
      </c>
      <c r="J2" s="3" t="s">
        <v>209</v>
      </c>
      <c r="K2" s="3" t="s">
        <v>210</v>
      </c>
      <c r="L2" s="4">
        <v>46252</v>
      </c>
    </row>
    <row r="3" ht="58" customHeight="1" spans="1:12">
      <c r="A3" s="11">
        <v>2</v>
      </c>
      <c r="B3" s="12" t="s">
        <v>211</v>
      </c>
      <c r="C3" s="12" t="s">
        <v>212</v>
      </c>
      <c r="D3" s="12" t="s">
        <v>213</v>
      </c>
      <c r="E3" s="12" t="s">
        <v>214</v>
      </c>
      <c r="F3" s="12" t="s">
        <v>215</v>
      </c>
      <c r="G3" s="12" t="s">
        <v>216</v>
      </c>
      <c r="H3" s="12" t="s">
        <v>21</v>
      </c>
      <c r="I3" s="12" t="s">
        <v>208</v>
      </c>
      <c r="J3" s="12" t="s">
        <v>217</v>
      </c>
      <c r="K3" s="12" t="s">
        <v>80</v>
      </c>
      <c r="L3" s="13">
        <v>46252</v>
      </c>
    </row>
    <row r="4" ht="58" customHeight="1" spans="1:12">
      <c r="A4" s="11">
        <v>3</v>
      </c>
      <c r="B4" s="12" t="s">
        <v>218</v>
      </c>
      <c r="C4" s="12" t="s">
        <v>96</v>
      </c>
      <c r="D4" s="12" t="s">
        <v>219</v>
      </c>
      <c r="E4" s="12" t="s">
        <v>220</v>
      </c>
      <c r="F4" s="12" t="s">
        <v>221</v>
      </c>
      <c r="G4" s="12" t="s">
        <v>222</v>
      </c>
      <c r="H4" s="12" t="s">
        <v>21</v>
      </c>
      <c r="I4" s="12" t="s">
        <v>208</v>
      </c>
      <c r="J4" s="12" t="s">
        <v>93</v>
      </c>
      <c r="K4" s="12" t="s">
        <v>223</v>
      </c>
      <c r="L4" s="13">
        <v>46252</v>
      </c>
    </row>
    <row r="5" ht="58" customHeight="1" spans="1:12">
      <c r="A5" s="11">
        <v>4</v>
      </c>
      <c r="B5" s="12" t="s">
        <v>224</v>
      </c>
      <c r="C5" s="12" t="s">
        <v>225</v>
      </c>
      <c r="D5" s="12" t="s">
        <v>226</v>
      </c>
      <c r="E5" s="12" t="s">
        <v>227</v>
      </c>
      <c r="F5" s="12" t="s">
        <v>228</v>
      </c>
      <c r="G5" s="12" t="s">
        <v>229</v>
      </c>
      <c r="H5" s="12" t="s">
        <v>21</v>
      </c>
      <c r="I5" s="12" t="s">
        <v>208</v>
      </c>
      <c r="J5" s="12" t="s">
        <v>93</v>
      </c>
      <c r="K5" s="12" t="s">
        <v>94</v>
      </c>
      <c r="L5" s="13">
        <v>46252</v>
      </c>
    </row>
    <row r="6" ht="58" customHeight="1" spans="1:12">
      <c r="A6" s="11">
        <v>5</v>
      </c>
      <c r="B6" s="12" t="s">
        <v>230</v>
      </c>
      <c r="C6" s="12" t="s">
        <v>231</v>
      </c>
      <c r="D6" s="12" t="s">
        <v>232</v>
      </c>
      <c r="E6" s="12" t="s">
        <v>233</v>
      </c>
      <c r="F6" s="12" t="s">
        <v>234</v>
      </c>
      <c r="G6" s="12" t="s">
        <v>235</v>
      </c>
      <c r="H6" s="12" t="s">
        <v>21</v>
      </c>
      <c r="I6" s="12" t="s">
        <v>208</v>
      </c>
      <c r="J6" s="12" t="s">
        <v>236</v>
      </c>
      <c r="K6" s="12" t="s">
        <v>94</v>
      </c>
      <c r="L6" s="13">
        <v>46252</v>
      </c>
    </row>
    <row r="7" ht="58" customHeight="1" spans="1:12">
      <c r="A7" s="11">
        <v>6</v>
      </c>
      <c r="B7" s="12" t="s">
        <v>237</v>
      </c>
      <c r="C7" s="12" t="s">
        <v>238</v>
      </c>
      <c r="D7" s="12" t="s">
        <v>239</v>
      </c>
      <c r="E7" s="12" t="s">
        <v>240</v>
      </c>
      <c r="F7" s="12" t="s">
        <v>77</v>
      </c>
      <c r="G7" s="12" t="s">
        <v>241</v>
      </c>
      <c r="H7" s="12" t="s">
        <v>21</v>
      </c>
      <c r="I7" s="12" t="s">
        <v>208</v>
      </c>
      <c r="J7" s="12" t="s">
        <v>202</v>
      </c>
      <c r="K7" s="12" t="s">
        <v>80</v>
      </c>
      <c r="L7" s="13">
        <v>46252</v>
      </c>
    </row>
    <row r="8" ht="58" customHeight="1" spans="1:12">
      <c r="A8" s="5">
        <v>7</v>
      </c>
      <c r="B8" s="6" t="s">
        <v>242</v>
      </c>
      <c r="C8" s="6" t="s">
        <v>243</v>
      </c>
      <c r="D8" s="6" t="s">
        <v>244</v>
      </c>
      <c r="E8" s="6" t="s">
        <v>245</v>
      </c>
      <c r="F8" s="6" t="s">
        <v>246</v>
      </c>
      <c r="G8" s="6" t="s">
        <v>247</v>
      </c>
      <c r="H8" s="6" t="s">
        <v>21</v>
      </c>
      <c r="I8" s="6" t="s">
        <v>208</v>
      </c>
      <c r="J8" s="6" t="s">
        <v>93</v>
      </c>
      <c r="K8" s="6" t="s">
        <v>248</v>
      </c>
      <c r="L8" s="7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showGridLines="0" workbookViewId="0">
      <selection activeCell="A1" sqref="A1"/>
    </sheetView>
  </sheetViews>
  <sheetFormatPr defaultColWidth="9" defaultRowHeight="14.5" outlineLevelRow="1"/>
  <cols>
    <col min="1" max="1" width="7" customWidth="1"/>
    <col min="2" max="2" width="30" customWidth="1"/>
    <col min="3" max="3" width="18" customWidth="1"/>
    <col min="4" max="4" width="48" customWidth="1"/>
    <col min="5" max="5" width="34" customWidth="1"/>
    <col min="6" max="6" width="40" customWidth="1"/>
    <col min="7" max="7" width="50" customWidth="1"/>
    <col min="8" max="8" width="13" customWidth="1"/>
    <col min="9" max="9" width="14" customWidth="1"/>
    <col min="10" max="10" width="16" customWidth="1"/>
    <col min="11" max="11" width="60" customWidth="1"/>
    <col min="12" max="12" width="13" customWidth="1"/>
  </cols>
  <sheetData>
    <row r="1" ht="30" customHeight="1" spans="1:1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11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1</v>
      </c>
    </row>
    <row r="2" ht="58" customHeight="1" spans="1:12">
      <c r="A2" s="8">
        <v>1</v>
      </c>
      <c r="B2" s="9" t="s">
        <v>249</v>
      </c>
      <c r="C2" s="9" t="s">
        <v>250</v>
      </c>
      <c r="D2" s="9" t="s">
        <v>251</v>
      </c>
      <c r="E2" s="9" t="s">
        <v>252</v>
      </c>
      <c r="F2" s="9" t="s">
        <v>215</v>
      </c>
      <c r="G2" s="9" t="s">
        <v>253</v>
      </c>
      <c r="H2" s="9" t="s">
        <v>22</v>
      </c>
      <c r="I2" s="9" t="s">
        <v>254</v>
      </c>
      <c r="J2" s="9" t="s">
        <v>194</v>
      </c>
      <c r="K2" s="9" t="s">
        <v>255</v>
      </c>
      <c r="L2" s="10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showGridLines="0" workbookViewId="0">
      <selection activeCell="A1" sqref="A1"/>
    </sheetView>
  </sheetViews>
  <sheetFormatPr defaultColWidth="9" defaultRowHeight="14.5" outlineLevelRow="1"/>
  <cols>
    <col min="1" max="1" width="7" customWidth="1"/>
    <col min="2" max="2" width="30" customWidth="1"/>
    <col min="3" max="3" width="18" customWidth="1"/>
    <col min="4" max="4" width="48" customWidth="1"/>
    <col min="5" max="5" width="34" customWidth="1"/>
    <col min="6" max="6" width="40" customWidth="1"/>
    <col min="7" max="7" width="50" customWidth="1"/>
    <col min="8" max="8" width="13" customWidth="1"/>
    <col min="9" max="9" width="14" customWidth="1"/>
    <col min="10" max="10" width="16" customWidth="1"/>
    <col min="11" max="11" width="60" customWidth="1"/>
    <col min="12" max="12" width="13" customWidth="1"/>
  </cols>
  <sheetData>
    <row r="1" ht="30" customHeight="1" spans="1:1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11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1</v>
      </c>
    </row>
    <row r="2" ht="58" customHeight="1" spans="1:12">
      <c r="A2" s="8">
        <v>1</v>
      </c>
      <c r="B2" s="9" t="s">
        <v>256</v>
      </c>
      <c r="C2" s="9" t="s">
        <v>257</v>
      </c>
      <c r="D2" s="9" t="s">
        <v>258</v>
      </c>
      <c r="E2" s="9" t="s">
        <v>259</v>
      </c>
      <c r="F2" s="9" t="s">
        <v>215</v>
      </c>
      <c r="G2" s="9" t="s">
        <v>260</v>
      </c>
      <c r="H2" s="9" t="s">
        <v>25</v>
      </c>
      <c r="I2" s="9" t="s">
        <v>261</v>
      </c>
      <c r="J2" s="9" t="s">
        <v>262</v>
      </c>
      <c r="K2" s="9" t="s">
        <v>263</v>
      </c>
      <c r="L2" s="10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showGridLines="0" tabSelected="1" topLeftCell="A21" workbookViewId="0">
      <selection activeCell="E31" sqref="E31"/>
    </sheetView>
  </sheetViews>
  <sheetFormatPr defaultColWidth="9" defaultRowHeight="14.5"/>
  <cols>
    <col min="1" max="1" width="7" customWidth="1"/>
    <col min="2" max="2" width="30" customWidth="1"/>
    <col min="3" max="3" width="18" customWidth="1"/>
    <col min="4" max="4" width="48" customWidth="1"/>
    <col min="5" max="5" width="34" customWidth="1"/>
    <col min="6" max="6" width="40" customWidth="1"/>
    <col min="7" max="7" width="50" customWidth="1"/>
    <col min="8" max="8" width="13" customWidth="1"/>
    <col min="9" max="9" width="14" customWidth="1"/>
    <col min="10" max="10" width="16" customWidth="1"/>
    <col min="11" max="11" width="60" customWidth="1"/>
    <col min="12" max="12" width="13" customWidth="1"/>
  </cols>
  <sheetData>
    <row r="1" ht="30" customHeight="1" spans="1:1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11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1</v>
      </c>
    </row>
    <row r="2" ht="58" customHeight="1" spans="1:12">
      <c r="A2" s="2">
        <v>1</v>
      </c>
      <c r="B2" s="3" t="s">
        <v>264</v>
      </c>
      <c r="C2" s="3" t="s">
        <v>265</v>
      </c>
      <c r="D2" s="3" t="s">
        <v>266</v>
      </c>
      <c r="E2" s="3" t="s">
        <v>267</v>
      </c>
      <c r="F2" s="3" t="s">
        <v>215</v>
      </c>
      <c r="G2" s="3" t="s">
        <v>268</v>
      </c>
      <c r="H2" s="3" t="s">
        <v>28</v>
      </c>
      <c r="I2" s="3" t="s">
        <v>269</v>
      </c>
      <c r="J2" s="3" t="s">
        <v>270</v>
      </c>
      <c r="K2" s="3" t="s">
        <v>271</v>
      </c>
      <c r="L2" s="4">
        <v>46252</v>
      </c>
    </row>
    <row r="3" ht="58" customHeight="1" spans="1:12">
      <c r="A3" s="11">
        <v>2</v>
      </c>
      <c r="B3" s="12" t="s">
        <v>272</v>
      </c>
      <c r="C3" s="12" t="s">
        <v>149</v>
      </c>
      <c r="D3" s="12" t="s">
        <v>273</v>
      </c>
      <c r="E3" s="12" t="s">
        <v>227</v>
      </c>
      <c r="F3" s="12" t="s">
        <v>274</v>
      </c>
      <c r="G3" s="12" t="s">
        <v>275</v>
      </c>
      <c r="H3" s="12" t="s">
        <v>28</v>
      </c>
      <c r="I3" s="12" t="s">
        <v>269</v>
      </c>
      <c r="J3" s="12" t="s">
        <v>93</v>
      </c>
      <c r="K3" s="12" t="s">
        <v>276</v>
      </c>
      <c r="L3" s="13">
        <v>46252</v>
      </c>
    </row>
    <row r="4" ht="58" customHeight="1" spans="1:12">
      <c r="A4" s="11">
        <v>3</v>
      </c>
      <c r="B4" s="12" t="s">
        <v>277</v>
      </c>
      <c r="C4" s="12" t="s">
        <v>278</v>
      </c>
      <c r="D4" s="12" t="s">
        <v>279</v>
      </c>
      <c r="E4" s="12" t="s">
        <v>280</v>
      </c>
      <c r="F4" s="12" t="s">
        <v>281</v>
      </c>
      <c r="G4" s="12" t="s">
        <v>282</v>
      </c>
      <c r="H4" s="12" t="s">
        <v>28</v>
      </c>
      <c r="I4" s="12" t="s">
        <v>269</v>
      </c>
      <c r="J4" s="12" t="s">
        <v>93</v>
      </c>
      <c r="K4" s="12" t="s">
        <v>94</v>
      </c>
      <c r="L4" s="13">
        <v>46252</v>
      </c>
    </row>
    <row r="5" ht="58" customHeight="1" spans="1:12">
      <c r="A5" s="11">
        <v>4</v>
      </c>
      <c r="B5" s="12" t="s">
        <v>283</v>
      </c>
      <c r="C5" s="12" t="s">
        <v>284</v>
      </c>
      <c r="D5" s="12" t="s">
        <v>285</v>
      </c>
      <c r="E5" s="12" t="s">
        <v>286</v>
      </c>
      <c r="F5" s="12" t="s">
        <v>287</v>
      </c>
      <c r="G5" s="12" t="s">
        <v>288</v>
      </c>
      <c r="H5" s="12" t="s">
        <v>28</v>
      </c>
      <c r="I5" s="12" t="s">
        <v>269</v>
      </c>
      <c r="J5" s="12" t="s">
        <v>93</v>
      </c>
      <c r="K5" s="12" t="s">
        <v>94</v>
      </c>
      <c r="L5" s="13">
        <v>46252</v>
      </c>
    </row>
    <row r="6" ht="58" customHeight="1" spans="1:12">
      <c r="A6" s="11">
        <v>5</v>
      </c>
      <c r="B6" s="12" t="s">
        <v>289</v>
      </c>
      <c r="C6" s="12" t="s">
        <v>290</v>
      </c>
      <c r="D6" s="12" t="s">
        <v>291</v>
      </c>
      <c r="E6" s="12" t="s">
        <v>292</v>
      </c>
      <c r="F6" s="12" t="s">
        <v>77</v>
      </c>
      <c r="G6" s="12" t="s">
        <v>293</v>
      </c>
      <c r="H6" s="12" t="s">
        <v>28</v>
      </c>
      <c r="I6" s="12" t="s">
        <v>269</v>
      </c>
      <c r="J6" s="12" t="s">
        <v>93</v>
      </c>
      <c r="K6" s="12" t="s">
        <v>294</v>
      </c>
      <c r="L6" s="13">
        <v>46252</v>
      </c>
    </row>
    <row r="7" ht="58" customHeight="1" spans="1:12">
      <c r="A7" s="11">
        <v>6</v>
      </c>
      <c r="B7" s="12" t="s">
        <v>295</v>
      </c>
      <c r="C7" s="12" t="s">
        <v>103</v>
      </c>
      <c r="D7" s="12" t="s">
        <v>296</v>
      </c>
      <c r="E7" s="12" t="s">
        <v>227</v>
      </c>
      <c r="F7" s="12" t="s">
        <v>297</v>
      </c>
      <c r="G7" s="12" t="s">
        <v>298</v>
      </c>
      <c r="H7" s="12" t="s">
        <v>28</v>
      </c>
      <c r="I7" s="12" t="s">
        <v>269</v>
      </c>
      <c r="J7" s="12" t="s">
        <v>93</v>
      </c>
      <c r="K7" s="12" t="s">
        <v>94</v>
      </c>
      <c r="L7" s="13">
        <v>46252</v>
      </c>
    </row>
    <row r="8" ht="58" customHeight="1" spans="1:12">
      <c r="A8" s="11">
        <v>7</v>
      </c>
      <c r="B8" s="12" t="s">
        <v>299</v>
      </c>
      <c r="C8" s="12" t="s">
        <v>300</v>
      </c>
      <c r="D8" s="12" t="s">
        <v>301</v>
      </c>
      <c r="E8" s="12" t="s">
        <v>302</v>
      </c>
      <c r="F8" s="12" t="s">
        <v>303</v>
      </c>
      <c r="G8" s="12" t="s">
        <v>304</v>
      </c>
      <c r="H8" s="12" t="s">
        <v>28</v>
      </c>
      <c r="I8" s="12" t="s">
        <v>269</v>
      </c>
      <c r="J8" s="12" t="s">
        <v>93</v>
      </c>
      <c r="K8" s="12" t="s">
        <v>94</v>
      </c>
      <c r="L8" s="13">
        <v>46252</v>
      </c>
    </row>
    <row r="9" ht="58" customHeight="1" spans="1:12">
      <c r="A9" s="11">
        <v>8</v>
      </c>
      <c r="B9" s="12" t="s">
        <v>305</v>
      </c>
      <c r="C9" s="12" t="s">
        <v>306</v>
      </c>
      <c r="D9" s="12" t="s">
        <v>307</v>
      </c>
      <c r="E9" s="12" t="s">
        <v>308</v>
      </c>
      <c r="F9" s="12" t="s">
        <v>309</v>
      </c>
      <c r="G9" s="12" t="s">
        <v>310</v>
      </c>
      <c r="H9" s="12" t="s">
        <v>28</v>
      </c>
      <c r="I9" s="12" t="s">
        <v>269</v>
      </c>
      <c r="J9" s="12" t="s">
        <v>93</v>
      </c>
      <c r="K9" s="12" t="s">
        <v>94</v>
      </c>
      <c r="L9" s="13">
        <v>46252</v>
      </c>
    </row>
    <row r="10" ht="58" customHeight="1" spans="1:12">
      <c r="A10" s="11">
        <v>9</v>
      </c>
      <c r="B10" s="12" t="s">
        <v>311</v>
      </c>
      <c r="C10" s="12" t="s">
        <v>103</v>
      </c>
      <c r="D10" s="12" t="s">
        <v>312</v>
      </c>
      <c r="E10" s="12" t="s">
        <v>313</v>
      </c>
      <c r="F10" s="12" t="s">
        <v>314</v>
      </c>
      <c r="G10" s="12" t="s">
        <v>315</v>
      </c>
      <c r="H10" s="12" t="s">
        <v>28</v>
      </c>
      <c r="I10" s="12" t="s">
        <v>269</v>
      </c>
      <c r="J10" s="12" t="s">
        <v>93</v>
      </c>
      <c r="K10" s="12" t="s">
        <v>154</v>
      </c>
      <c r="L10" s="13">
        <v>46252</v>
      </c>
    </row>
    <row r="11" ht="58" customHeight="1" spans="1:12">
      <c r="A11" s="11">
        <v>10</v>
      </c>
      <c r="B11" s="12" t="s">
        <v>316</v>
      </c>
      <c r="C11" s="12" t="s">
        <v>317</v>
      </c>
      <c r="D11" s="12" t="s">
        <v>318</v>
      </c>
      <c r="E11" s="12" t="s">
        <v>319</v>
      </c>
      <c r="F11" s="12" t="s">
        <v>77</v>
      </c>
      <c r="G11" s="12" t="s">
        <v>320</v>
      </c>
      <c r="H11" s="12" t="s">
        <v>28</v>
      </c>
      <c r="I11" s="12" t="s">
        <v>269</v>
      </c>
      <c r="J11" s="12" t="s">
        <v>321</v>
      </c>
      <c r="K11" s="12" t="s">
        <v>80</v>
      </c>
      <c r="L11" s="13">
        <v>46252</v>
      </c>
    </row>
    <row r="12" ht="58" customHeight="1" spans="1:12">
      <c r="A12" s="11">
        <v>11</v>
      </c>
      <c r="B12" s="12" t="s">
        <v>322</v>
      </c>
      <c r="C12" s="12" t="s">
        <v>323</v>
      </c>
      <c r="D12" s="12" t="s">
        <v>324</v>
      </c>
      <c r="E12" s="12" t="s">
        <v>325</v>
      </c>
      <c r="F12" s="12" t="s">
        <v>326</v>
      </c>
      <c r="G12" s="12" t="s">
        <v>327</v>
      </c>
      <c r="H12" s="12" t="s">
        <v>28</v>
      </c>
      <c r="I12" s="12" t="s">
        <v>269</v>
      </c>
      <c r="J12" s="12" t="s">
        <v>93</v>
      </c>
      <c r="K12" s="12" t="s">
        <v>94</v>
      </c>
      <c r="L12" s="13">
        <v>46252</v>
      </c>
    </row>
    <row r="13" ht="58" customHeight="1" spans="1:12">
      <c r="A13" s="11">
        <v>12</v>
      </c>
      <c r="B13" s="12" t="s">
        <v>328</v>
      </c>
      <c r="C13" s="12" t="s">
        <v>329</v>
      </c>
      <c r="D13" s="12" t="s">
        <v>330</v>
      </c>
      <c r="E13" s="12" t="s">
        <v>331</v>
      </c>
      <c r="F13" s="12" t="s">
        <v>77</v>
      </c>
      <c r="G13" s="12" t="s">
        <v>332</v>
      </c>
      <c r="H13" s="12" t="s">
        <v>28</v>
      </c>
      <c r="I13" s="12" t="s">
        <v>269</v>
      </c>
      <c r="J13" s="12" t="s">
        <v>93</v>
      </c>
      <c r="K13" s="12" t="s">
        <v>333</v>
      </c>
      <c r="L13" s="13">
        <v>46252</v>
      </c>
    </row>
    <row r="14" ht="58" customHeight="1" spans="1:12">
      <c r="A14" s="11">
        <v>13</v>
      </c>
      <c r="B14" s="12" t="s">
        <v>334</v>
      </c>
      <c r="C14" s="12" t="s">
        <v>103</v>
      </c>
      <c r="D14" s="12" t="s">
        <v>335</v>
      </c>
      <c r="E14" s="12" t="s">
        <v>336</v>
      </c>
      <c r="F14" s="12" t="s">
        <v>337</v>
      </c>
      <c r="G14" s="12" t="s">
        <v>338</v>
      </c>
      <c r="H14" s="12" t="s">
        <v>28</v>
      </c>
      <c r="I14" s="12" t="s">
        <v>269</v>
      </c>
      <c r="J14" s="12" t="s">
        <v>93</v>
      </c>
      <c r="K14" s="12" t="s">
        <v>339</v>
      </c>
      <c r="L14" s="13">
        <v>46252</v>
      </c>
    </row>
    <row r="15" ht="58" customHeight="1" spans="1:12">
      <c r="A15" s="11">
        <v>14</v>
      </c>
      <c r="B15" s="12" t="s">
        <v>340</v>
      </c>
      <c r="C15" s="12" t="s">
        <v>341</v>
      </c>
      <c r="D15" s="12" t="s">
        <v>342</v>
      </c>
      <c r="E15" s="12" t="s">
        <v>343</v>
      </c>
      <c r="F15" s="12" t="s">
        <v>215</v>
      </c>
      <c r="G15" s="12" t="s">
        <v>344</v>
      </c>
      <c r="H15" s="12" t="s">
        <v>28</v>
      </c>
      <c r="I15" s="12" t="s">
        <v>269</v>
      </c>
      <c r="J15" s="12" t="s">
        <v>270</v>
      </c>
      <c r="K15" s="12" t="s">
        <v>345</v>
      </c>
      <c r="L15" s="13">
        <v>46252</v>
      </c>
    </row>
    <row r="16" ht="58" customHeight="1" spans="1:12">
      <c r="A16" s="11">
        <v>15</v>
      </c>
      <c r="B16" s="12" t="s">
        <v>346</v>
      </c>
      <c r="C16" s="12" t="s">
        <v>347</v>
      </c>
      <c r="D16" s="12" t="s">
        <v>348</v>
      </c>
      <c r="E16" s="12" t="s">
        <v>349</v>
      </c>
      <c r="F16" s="12" t="s">
        <v>350</v>
      </c>
      <c r="G16" s="12" t="s">
        <v>351</v>
      </c>
      <c r="H16" s="12" t="s">
        <v>28</v>
      </c>
      <c r="I16" s="12" t="s">
        <v>269</v>
      </c>
      <c r="J16" s="12" t="s">
        <v>93</v>
      </c>
      <c r="K16" s="12" t="s">
        <v>94</v>
      </c>
      <c r="L16" s="13">
        <v>46252</v>
      </c>
    </row>
    <row r="17" ht="58" customHeight="1" spans="1:12">
      <c r="A17" s="11">
        <v>16</v>
      </c>
      <c r="B17" s="12" t="s">
        <v>352</v>
      </c>
      <c r="C17" s="12" t="s">
        <v>96</v>
      </c>
      <c r="D17" s="12" t="s">
        <v>353</v>
      </c>
      <c r="E17" s="12" t="s">
        <v>354</v>
      </c>
      <c r="F17" s="12" t="s">
        <v>355</v>
      </c>
      <c r="G17" s="12" t="s">
        <v>356</v>
      </c>
      <c r="H17" s="12" t="s">
        <v>28</v>
      </c>
      <c r="I17" s="12" t="s">
        <v>269</v>
      </c>
      <c r="J17" s="12" t="s">
        <v>93</v>
      </c>
      <c r="K17" s="12" t="s">
        <v>357</v>
      </c>
      <c r="L17" s="13">
        <v>46252</v>
      </c>
    </row>
    <row r="18" ht="58" customHeight="1" spans="1:12">
      <c r="A18" s="11">
        <v>17</v>
      </c>
      <c r="B18" s="12" t="s">
        <v>358</v>
      </c>
      <c r="C18" s="12" t="s">
        <v>359</v>
      </c>
      <c r="D18" s="12" t="s">
        <v>360</v>
      </c>
      <c r="E18" s="12" t="s">
        <v>361</v>
      </c>
      <c r="F18" s="12" t="s">
        <v>77</v>
      </c>
      <c r="G18" s="12" t="s">
        <v>362</v>
      </c>
      <c r="H18" s="12" t="s">
        <v>28</v>
      </c>
      <c r="I18" s="12" t="s">
        <v>269</v>
      </c>
      <c r="J18" s="12" t="s">
        <v>363</v>
      </c>
      <c r="K18" s="12" t="s">
        <v>364</v>
      </c>
      <c r="L18" s="13">
        <v>46252</v>
      </c>
    </row>
    <row r="19" ht="58" customHeight="1" spans="1:12">
      <c r="A19" s="11">
        <v>18</v>
      </c>
      <c r="B19" s="12" t="s">
        <v>365</v>
      </c>
      <c r="C19" s="12" t="s">
        <v>366</v>
      </c>
      <c r="D19" s="12" t="s">
        <v>367</v>
      </c>
      <c r="E19" s="12" t="s">
        <v>368</v>
      </c>
      <c r="F19" s="12" t="s">
        <v>77</v>
      </c>
      <c r="G19" s="12" t="s">
        <v>369</v>
      </c>
      <c r="H19" s="12" t="s">
        <v>28</v>
      </c>
      <c r="I19" s="12" t="s">
        <v>269</v>
      </c>
      <c r="J19" s="12" t="s">
        <v>370</v>
      </c>
      <c r="K19" s="12" t="s">
        <v>80</v>
      </c>
      <c r="L19" s="13">
        <v>46252</v>
      </c>
    </row>
    <row r="20" ht="58" customHeight="1" spans="1:12">
      <c r="A20" s="11">
        <v>19</v>
      </c>
      <c r="B20" s="12" t="s">
        <v>371</v>
      </c>
      <c r="C20" s="12" t="s">
        <v>372</v>
      </c>
      <c r="D20" s="12" t="s">
        <v>373</v>
      </c>
      <c r="E20" s="12" t="s">
        <v>374</v>
      </c>
      <c r="F20" s="12" t="s">
        <v>375</v>
      </c>
      <c r="G20" s="12" t="s">
        <v>376</v>
      </c>
      <c r="H20" s="12" t="s">
        <v>28</v>
      </c>
      <c r="I20" s="12" t="s">
        <v>269</v>
      </c>
      <c r="J20" s="12" t="s">
        <v>93</v>
      </c>
      <c r="K20" s="12" t="s">
        <v>154</v>
      </c>
      <c r="L20" s="13">
        <v>46252</v>
      </c>
    </row>
    <row r="21" ht="58" customHeight="1" spans="1:12">
      <c r="A21" s="11">
        <v>20</v>
      </c>
      <c r="B21" s="12" t="s">
        <v>377</v>
      </c>
      <c r="C21" s="12" t="s">
        <v>378</v>
      </c>
      <c r="D21" s="12" t="s">
        <v>379</v>
      </c>
      <c r="E21" s="12" t="s">
        <v>380</v>
      </c>
      <c r="F21" s="12" t="s">
        <v>381</v>
      </c>
      <c r="G21" s="12" t="s">
        <v>382</v>
      </c>
      <c r="H21" s="12" t="s">
        <v>28</v>
      </c>
      <c r="I21" s="12" t="s">
        <v>269</v>
      </c>
      <c r="J21" s="12" t="s">
        <v>383</v>
      </c>
      <c r="K21" s="12" t="s">
        <v>384</v>
      </c>
      <c r="L21" s="13">
        <v>46252</v>
      </c>
    </row>
    <row r="22" ht="58" customHeight="1" spans="1:12">
      <c r="A22" s="11">
        <v>21</v>
      </c>
      <c r="B22" s="12" t="s">
        <v>385</v>
      </c>
      <c r="C22" s="12" t="s">
        <v>386</v>
      </c>
      <c r="D22" s="12" t="s">
        <v>387</v>
      </c>
      <c r="E22" s="12" t="s">
        <v>388</v>
      </c>
      <c r="F22" s="12" t="s">
        <v>389</v>
      </c>
      <c r="G22" s="12" t="s">
        <v>390</v>
      </c>
      <c r="H22" s="12" t="s">
        <v>28</v>
      </c>
      <c r="I22" s="12" t="s">
        <v>269</v>
      </c>
      <c r="J22" s="12" t="s">
        <v>71</v>
      </c>
      <c r="K22" s="12" t="s">
        <v>72</v>
      </c>
      <c r="L22" s="13">
        <v>46252</v>
      </c>
    </row>
    <row r="23" ht="58" customHeight="1" spans="1:12">
      <c r="A23" s="11">
        <v>22</v>
      </c>
      <c r="B23" s="12" t="s">
        <v>391</v>
      </c>
      <c r="C23" s="12" t="s">
        <v>392</v>
      </c>
      <c r="D23" s="12" t="s">
        <v>393</v>
      </c>
      <c r="E23" s="12" t="s">
        <v>394</v>
      </c>
      <c r="F23" s="12" t="s">
        <v>395</v>
      </c>
      <c r="G23" s="12" t="s">
        <v>396</v>
      </c>
      <c r="H23" s="12" t="s">
        <v>28</v>
      </c>
      <c r="I23" s="12" t="s">
        <v>269</v>
      </c>
      <c r="J23" s="12" t="s">
        <v>397</v>
      </c>
      <c r="K23" s="12" t="s">
        <v>398</v>
      </c>
      <c r="L23" s="13">
        <v>46252</v>
      </c>
    </row>
    <row r="24" ht="58" customHeight="1" spans="1:12">
      <c r="A24" s="11">
        <v>23</v>
      </c>
      <c r="B24" s="12" t="s">
        <v>399</v>
      </c>
      <c r="C24" s="12" t="s">
        <v>103</v>
      </c>
      <c r="D24" s="12" t="s">
        <v>400</v>
      </c>
      <c r="E24" s="12" t="s">
        <v>401</v>
      </c>
      <c r="F24" s="12" t="s">
        <v>402</v>
      </c>
      <c r="G24" s="12" t="s">
        <v>403</v>
      </c>
      <c r="H24" s="12" t="s">
        <v>28</v>
      </c>
      <c r="I24" s="12" t="s">
        <v>269</v>
      </c>
      <c r="J24" s="12" t="s">
        <v>202</v>
      </c>
      <c r="K24" s="12" t="s">
        <v>404</v>
      </c>
      <c r="L24" s="13">
        <v>46252</v>
      </c>
    </row>
    <row r="25" ht="58" customHeight="1" spans="1:12">
      <c r="A25" s="11">
        <v>24</v>
      </c>
      <c r="B25" s="12" t="s">
        <v>405</v>
      </c>
      <c r="C25" s="12" t="s">
        <v>406</v>
      </c>
      <c r="D25" s="12" t="s">
        <v>407</v>
      </c>
      <c r="E25" s="12" t="s">
        <v>408</v>
      </c>
      <c r="F25" s="12" t="s">
        <v>409</v>
      </c>
      <c r="G25" s="12" t="s">
        <v>410</v>
      </c>
      <c r="H25" s="12" t="s">
        <v>28</v>
      </c>
      <c r="I25" s="12" t="s">
        <v>269</v>
      </c>
      <c r="J25" s="12" t="s">
        <v>71</v>
      </c>
      <c r="K25" s="12" t="s">
        <v>72</v>
      </c>
      <c r="L25" s="13">
        <v>46252</v>
      </c>
    </row>
    <row r="26" ht="58" customHeight="1" spans="1:12">
      <c r="A26" s="5">
        <v>25</v>
      </c>
      <c r="B26" s="6" t="s">
        <v>411</v>
      </c>
      <c r="C26" s="6" t="s">
        <v>412</v>
      </c>
      <c r="D26" s="6" t="s">
        <v>413</v>
      </c>
      <c r="E26" s="6" t="s">
        <v>414</v>
      </c>
      <c r="F26" s="6" t="s">
        <v>77</v>
      </c>
      <c r="G26" s="6" t="s">
        <v>415</v>
      </c>
      <c r="H26" s="6" t="s">
        <v>28</v>
      </c>
      <c r="I26" s="6" t="s">
        <v>269</v>
      </c>
      <c r="J26" s="6" t="s">
        <v>270</v>
      </c>
      <c r="K26" s="6" t="s">
        <v>416</v>
      </c>
      <c r="L26" s="7">
        <v>46252</v>
      </c>
    </row>
    <row r="27" ht="56" spans="1:12">
      <c r="B27" s="14" t="s">
        <v>1102</v>
      </c>
      <c r="C27" s="15" t="s">
        <v>1103</v>
      </c>
      <c r="D27" s="16" t="s">
        <v>1104</v>
      </c>
      <c r="E27" t="s">
        <v>596</v>
      </c>
      <c r="F27" s="16" t="s">
        <v>1105</v>
      </c>
      <c r="G27" s="16" t="s">
        <v>1106</v>
      </c>
      <c r="H27" t="s">
        <v>28</v>
      </c>
      <c r="I27" t="s">
        <v>28</v>
      </c>
      <c r="J27" s="17" t="s">
        <v>93</v>
      </c>
      <c r="K27" s="18" t="s">
        <v>1107</v>
      </c>
      <c r="L27" s="19">
        <v>46252</v>
      </c>
    </row>
  </sheetData>
  <hyperlinks>
    <hyperlink ref="K27" r:id="rId2" display="https://www.eegion.com/"/>
  </hyperlinks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showGridLines="0" workbookViewId="0">
      <selection activeCell="A1" sqref="A1"/>
    </sheetView>
  </sheetViews>
  <sheetFormatPr defaultColWidth="9" defaultRowHeight="14.5"/>
  <cols>
    <col min="1" max="1" width="7" customWidth="1"/>
    <col min="2" max="2" width="30" customWidth="1"/>
    <col min="3" max="3" width="18" customWidth="1"/>
    <col min="4" max="4" width="48" customWidth="1"/>
    <col min="5" max="5" width="34" customWidth="1"/>
    <col min="6" max="6" width="40" customWidth="1"/>
    <col min="7" max="7" width="50" customWidth="1"/>
    <col min="8" max="8" width="13" customWidth="1"/>
    <col min="9" max="9" width="14" customWidth="1"/>
    <col min="10" max="10" width="16" customWidth="1"/>
    <col min="11" max="11" width="60" customWidth="1"/>
    <col min="12" max="12" width="13" customWidth="1"/>
  </cols>
  <sheetData>
    <row r="1" ht="30" customHeight="1" spans="1:1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11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1</v>
      </c>
    </row>
    <row r="2" ht="58" customHeight="1" spans="1:12">
      <c r="A2" s="2">
        <v>1</v>
      </c>
      <c r="B2" s="3" t="s">
        <v>417</v>
      </c>
      <c r="C2" s="3" t="s">
        <v>418</v>
      </c>
      <c r="D2" s="3" t="s">
        <v>419</v>
      </c>
      <c r="E2" s="3" t="s">
        <v>420</v>
      </c>
      <c r="F2" s="3" t="s">
        <v>421</v>
      </c>
      <c r="G2" s="3" t="s">
        <v>422</v>
      </c>
      <c r="H2" s="3" t="s">
        <v>29</v>
      </c>
      <c r="I2" s="3" t="s">
        <v>423</v>
      </c>
      <c r="J2" s="3" t="s">
        <v>93</v>
      </c>
      <c r="K2" s="3" t="s">
        <v>424</v>
      </c>
      <c r="L2" s="4">
        <v>46252</v>
      </c>
    </row>
    <row r="3" ht="58" customHeight="1" spans="1:12">
      <c r="A3" s="11">
        <v>2</v>
      </c>
      <c r="B3" s="12" t="s">
        <v>425</v>
      </c>
      <c r="C3" s="12" t="s">
        <v>426</v>
      </c>
      <c r="D3" s="12" t="s">
        <v>427</v>
      </c>
      <c r="E3" s="12" t="s">
        <v>428</v>
      </c>
      <c r="F3" s="12" t="s">
        <v>429</v>
      </c>
      <c r="G3" s="12" t="s">
        <v>430</v>
      </c>
      <c r="H3" s="12" t="s">
        <v>29</v>
      </c>
      <c r="I3" s="12" t="s">
        <v>423</v>
      </c>
      <c r="J3" s="12" t="s">
        <v>93</v>
      </c>
      <c r="K3" s="12" t="s">
        <v>94</v>
      </c>
      <c r="L3" s="13">
        <v>46252</v>
      </c>
    </row>
    <row r="4" ht="58" customHeight="1" spans="1:12">
      <c r="A4" s="11">
        <v>3</v>
      </c>
      <c r="B4" s="12" t="s">
        <v>431</v>
      </c>
      <c r="C4" s="12" t="s">
        <v>432</v>
      </c>
      <c r="D4" s="12" t="s">
        <v>433</v>
      </c>
      <c r="E4" s="12" t="s">
        <v>434</v>
      </c>
      <c r="F4" s="12" t="s">
        <v>435</v>
      </c>
      <c r="G4" s="12" t="s">
        <v>436</v>
      </c>
      <c r="H4" s="12" t="s">
        <v>29</v>
      </c>
      <c r="I4" s="12" t="s">
        <v>423</v>
      </c>
      <c r="J4" s="12" t="s">
        <v>437</v>
      </c>
      <c r="K4" s="12" t="s">
        <v>438</v>
      </c>
      <c r="L4" s="13">
        <v>46252</v>
      </c>
    </row>
    <row r="5" ht="58" customHeight="1" spans="1:12">
      <c r="A5" s="11">
        <v>4</v>
      </c>
      <c r="B5" s="12" t="s">
        <v>439</v>
      </c>
      <c r="C5" s="12" t="s">
        <v>440</v>
      </c>
      <c r="D5" s="12" t="s">
        <v>441</v>
      </c>
      <c r="E5" s="12" t="s">
        <v>280</v>
      </c>
      <c r="F5" s="12" t="s">
        <v>215</v>
      </c>
      <c r="G5" s="12" t="s">
        <v>442</v>
      </c>
      <c r="H5" s="12" t="s">
        <v>29</v>
      </c>
      <c r="I5" s="12" t="s">
        <v>423</v>
      </c>
      <c r="J5" s="12" t="s">
        <v>93</v>
      </c>
      <c r="K5" s="12" t="s">
        <v>443</v>
      </c>
      <c r="L5" s="13">
        <v>46252</v>
      </c>
    </row>
    <row r="6" ht="58" customHeight="1" spans="1:12">
      <c r="A6" s="11">
        <v>5</v>
      </c>
      <c r="B6" s="12" t="s">
        <v>444</v>
      </c>
      <c r="C6" s="12" t="s">
        <v>445</v>
      </c>
      <c r="D6" s="12" t="s">
        <v>446</v>
      </c>
      <c r="E6" s="12" t="s">
        <v>447</v>
      </c>
      <c r="F6" s="12" t="s">
        <v>77</v>
      </c>
      <c r="G6" s="12" t="s">
        <v>448</v>
      </c>
      <c r="H6" s="12" t="s">
        <v>29</v>
      </c>
      <c r="I6" s="12" t="s">
        <v>449</v>
      </c>
      <c r="J6" s="12" t="s">
        <v>202</v>
      </c>
      <c r="K6" s="12" t="s">
        <v>450</v>
      </c>
      <c r="L6" s="13">
        <v>46252</v>
      </c>
    </row>
    <row r="7" ht="58" customHeight="1" spans="1:12">
      <c r="A7" s="11">
        <v>6</v>
      </c>
      <c r="B7" s="12" t="s">
        <v>451</v>
      </c>
      <c r="C7" s="12" t="s">
        <v>96</v>
      </c>
      <c r="D7" s="12" t="s">
        <v>452</v>
      </c>
      <c r="E7" s="12" t="s">
        <v>453</v>
      </c>
      <c r="F7" s="12" t="s">
        <v>77</v>
      </c>
      <c r="G7" s="12" t="s">
        <v>454</v>
      </c>
      <c r="H7" s="12" t="s">
        <v>29</v>
      </c>
      <c r="I7" s="12" t="s">
        <v>455</v>
      </c>
      <c r="J7" s="12" t="s">
        <v>93</v>
      </c>
      <c r="K7" s="12" t="s">
        <v>456</v>
      </c>
      <c r="L7" s="13">
        <v>46252</v>
      </c>
    </row>
    <row r="8" ht="58" customHeight="1" spans="1:12">
      <c r="A8" s="11">
        <v>7</v>
      </c>
      <c r="B8" s="12" t="s">
        <v>457</v>
      </c>
      <c r="C8" s="12" t="s">
        <v>458</v>
      </c>
      <c r="D8" s="12" t="s">
        <v>459</v>
      </c>
      <c r="E8" s="12" t="s">
        <v>460</v>
      </c>
      <c r="F8" s="12" t="s">
        <v>461</v>
      </c>
      <c r="G8" s="12" t="s">
        <v>462</v>
      </c>
      <c r="H8" s="12" t="s">
        <v>29</v>
      </c>
      <c r="I8" s="12" t="s">
        <v>463</v>
      </c>
      <c r="J8" s="12" t="s">
        <v>71</v>
      </c>
      <c r="K8" s="12" t="s">
        <v>464</v>
      </c>
      <c r="L8" s="13">
        <v>46252</v>
      </c>
    </row>
    <row r="9" ht="58" customHeight="1" spans="1:12">
      <c r="A9" s="11">
        <v>8</v>
      </c>
      <c r="B9" s="12" t="s">
        <v>465</v>
      </c>
      <c r="C9" s="12" t="s">
        <v>466</v>
      </c>
      <c r="D9" s="12" t="s">
        <v>467</v>
      </c>
      <c r="E9" s="12" t="s">
        <v>468</v>
      </c>
      <c r="F9" s="12" t="s">
        <v>77</v>
      </c>
      <c r="G9" s="12" t="s">
        <v>469</v>
      </c>
      <c r="H9" s="12" t="s">
        <v>29</v>
      </c>
      <c r="I9" s="12" t="s">
        <v>470</v>
      </c>
      <c r="J9" s="12" t="s">
        <v>79</v>
      </c>
      <c r="K9" s="12" t="s">
        <v>80</v>
      </c>
      <c r="L9" s="13">
        <v>46252</v>
      </c>
    </row>
    <row r="10" ht="58" customHeight="1" spans="1:12">
      <c r="A10" s="11">
        <v>9</v>
      </c>
      <c r="B10" s="12" t="s">
        <v>471</v>
      </c>
      <c r="C10" s="12" t="s">
        <v>472</v>
      </c>
      <c r="D10" s="12" t="s">
        <v>473</v>
      </c>
      <c r="E10" s="12" t="s">
        <v>474</v>
      </c>
      <c r="F10" s="12" t="s">
        <v>215</v>
      </c>
      <c r="G10" s="12" t="s">
        <v>475</v>
      </c>
      <c r="H10" s="12" t="s">
        <v>29</v>
      </c>
      <c r="I10" s="12" t="s">
        <v>455</v>
      </c>
      <c r="J10" s="12" t="s">
        <v>476</v>
      </c>
      <c r="K10" s="12" t="s">
        <v>80</v>
      </c>
      <c r="L10" s="13">
        <v>46252</v>
      </c>
    </row>
    <row r="11" ht="58" customHeight="1" spans="1:12">
      <c r="A11" s="11">
        <v>10</v>
      </c>
      <c r="B11" s="12" t="s">
        <v>477</v>
      </c>
      <c r="C11" s="12" t="s">
        <v>478</v>
      </c>
      <c r="D11" s="12" t="s">
        <v>479</v>
      </c>
      <c r="E11" s="12" t="s">
        <v>480</v>
      </c>
      <c r="F11" s="12" t="s">
        <v>481</v>
      </c>
      <c r="G11" s="12" t="s">
        <v>482</v>
      </c>
      <c r="H11" s="12" t="s">
        <v>29</v>
      </c>
      <c r="I11" s="12" t="s">
        <v>483</v>
      </c>
      <c r="J11" s="12" t="s">
        <v>202</v>
      </c>
      <c r="K11" s="12" t="s">
        <v>94</v>
      </c>
      <c r="L11" s="13">
        <v>46252</v>
      </c>
    </row>
    <row r="12" ht="58" customHeight="1" spans="1:12">
      <c r="A12" s="11">
        <v>11</v>
      </c>
      <c r="B12" s="12" t="s">
        <v>484</v>
      </c>
      <c r="C12" s="12" t="s">
        <v>485</v>
      </c>
      <c r="D12" s="12" t="s">
        <v>486</v>
      </c>
      <c r="E12" s="12" t="s">
        <v>487</v>
      </c>
      <c r="F12" s="12" t="s">
        <v>488</v>
      </c>
      <c r="G12" s="12" t="s">
        <v>489</v>
      </c>
      <c r="H12" s="12" t="s">
        <v>29</v>
      </c>
      <c r="I12" s="12" t="s">
        <v>483</v>
      </c>
      <c r="J12" s="12" t="s">
        <v>437</v>
      </c>
      <c r="K12" s="12" t="s">
        <v>490</v>
      </c>
      <c r="L12" s="13">
        <v>46252</v>
      </c>
    </row>
    <row r="13" ht="58" customHeight="1" spans="1:12">
      <c r="A13" s="11">
        <v>12</v>
      </c>
      <c r="B13" s="12" t="s">
        <v>491</v>
      </c>
      <c r="C13" s="12" t="s">
        <v>492</v>
      </c>
      <c r="D13" s="12" t="s">
        <v>493</v>
      </c>
      <c r="E13" s="12" t="s">
        <v>494</v>
      </c>
      <c r="F13" s="12" t="s">
        <v>77</v>
      </c>
      <c r="G13" s="12" t="s">
        <v>495</v>
      </c>
      <c r="H13" s="12" t="s">
        <v>29</v>
      </c>
      <c r="I13" s="12" t="s">
        <v>483</v>
      </c>
      <c r="J13" s="12" t="s">
        <v>79</v>
      </c>
      <c r="K13" s="12" t="s">
        <v>496</v>
      </c>
      <c r="L13" s="13">
        <v>46252</v>
      </c>
    </row>
    <row r="14" ht="58" customHeight="1" spans="1:12">
      <c r="A14" s="11">
        <v>13</v>
      </c>
      <c r="B14" s="12" t="s">
        <v>497</v>
      </c>
      <c r="C14" s="12" t="s">
        <v>498</v>
      </c>
      <c r="D14" s="12" t="s">
        <v>499</v>
      </c>
      <c r="E14" s="12" t="s">
        <v>500</v>
      </c>
      <c r="F14" s="12" t="s">
        <v>215</v>
      </c>
      <c r="G14" s="12" t="s">
        <v>501</v>
      </c>
      <c r="H14" s="12" t="s">
        <v>29</v>
      </c>
      <c r="I14" s="12" t="s">
        <v>502</v>
      </c>
      <c r="J14" s="12" t="s">
        <v>503</v>
      </c>
      <c r="K14" s="12" t="s">
        <v>80</v>
      </c>
      <c r="L14" s="13">
        <v>46252</v>
      </c>
    </row>
    <row r="15" ht="58" customHeight="1" spans="1:12">
      <c r="A15" s="11">
        <v>14</v>
      </c>
      <c r="B15" s="12" t="s">
        <v>504</v>
      </c>
      <c r="C15" s="12" t="s">
        <v>505</v>
      </c>
      <c r="D15" s="12" t="s">
        <v>506</v>
      </c>
      <c r="E15" s="12" t="s">
        <v>507</v>
      </c>
      <c r="F15" s="12" t="s">
        <v>508</v>
      </c>
      <c r="G15" s="12" t="s">
        <v>509</v>
      </c>
      <c r="H15" s="12" t="s">
        <v>29</v>
      </c>
      <c r="I15" s="12" t="s">
        <v>449</v>
      </c>
      <c r="J15" s="12" t="s">
        <v>86</v>
      </c>
      <c r="K15" s="12" t="s">
        <v>80</v>
      </c>
      <c r="L15" s="13">
        <v>46252</v>
      </c>
    </row>
    <row r="16" ht="58" customHeight="1" spans="1:12">
      <c r="A16" s="11">
        <v>15</v>
      </c>
      <c r="B16" s="12" t="s">
        <v>510</v>
      </c>
      <c r="C16" s="12" t="s">
        <v>511</v>
      </c>
      <c r="D16" s="12" t="s">
        <v>512</v>
      </c>
      <c r="E16" s="12" t="s">
        <v>280</v>
      </c>
      <c r="F16" s="12" t="s">
        <v>215</v>
      </c>
      <c r="G16" s="12" t="s">
        <v>513</v>
      </c>
      <c r="H16" s="12" t="s">
        <v>29</v>
      </c>
      <c r="I16" s="12" t="s">
        <v>455</v>
      </c>
      <c r="J16" s="12" t="s">
        <v>93</v>
      </c>
      <c r="K16" s="12" t="s">
        <v>443</v>
      </c>
      <c r="L16" s="13">
        <v>46252</v>
      </c>
    </row>
    <row r="17" ht="58" customHeight="1" spans="1:12">
      <c r="A17" s="11">
        <v>16</v>
      </c>
      <c r="B17" s="12" t="s">
        <v>514</v>
      </c>
      <c r="C17" s="12" t="s">
        <v>96</v>
      </c>
      <c r="D17" s="12" t="s">
        <v>515</v>
      </c>
      <c r="E17" s="12" t="s">
        <v>516</v>
      </c>
      <c r="F17" s="12" t="s">
        <v>517</v>
      </c>
      <c r="G17" s="12" t="s">
        <v>518</v>
      </c>
      <c r="H17" s="12" t="s">
        <v>29</v>
      </c>
      <c r="I17" s="12" t="s">
        <v>455</v>
      </c>
      <c r="J17" s="12" t="s">
        <v>93</v>
      </c>
      <c r="K17" s="12" t="s">
        <v>94</v>
      </c>
      <c r="L17" s="13">
        <v>46252</v>
      </c>
    </row>
    <row r="18" ht="58" customHeight="1" spans="1:12">
      <c r="A18" s="11">
        <v>17</v>
      </c>
      <c r="B18" s="12" t="s">
        <v>519</v>
      </c>
      <c r="C18" s="12" t="s">
        <v>323</v>
      </c>
      <c r="D18" s="12" t="s">
        <v>520</v>
      </c>
      <c r="E18" s="12" t="s">
        <v>280</v>
      </c>
      <c r="F18" s="12" t="s">
        <v>215</v>
      </c>
      <c r="G18" s="12" t="s">
        <v>521</v>
      </c>
      <c r="H18" s="12" t="s">
        <v>29</v>
      </c>
      <c r="I18" s="12" t="s">
        <v>455</v>
      </c>
      <c r="J18" s="12" t="s">
        <v>93</v>
      </c>
      <c r="K18" s="12" t="s">
        <v>443</v>
      </c>
      <c r="L18" s="13">
        <v>46252</v>
      </c>
    </row>
    <row r="19" ht="58" customHeight="1" spans="1:12">
      <c r="A19" s="11">
        <v>18</v>
      </c>
      <c r="B19" s="12" t="s">
        <v>522</v>
      </c>
      <c r="C19" s="12" t="s">
        <v>523</v>
      </c>
      <c r="D19" s="12" t="s">
        <v>524</v>
      </c>
      <c r="E19" s="12" t="s">
        <v>525</v>
      </c>
      <c r="F19" s="12" t="s">
        <v>526</v>
      </c>
      <c r="G19" s="12" t="s">
        <v>527</v>
      </c>
      <c r="H19" s="12" t="s">
        <v>29</v>
      </c>
      <c r="I19" s="12" t="s">
        <v>455</v>
      </c>
      <c r="J19" s="12" t="s">
        <v>71</v>
      </c>
      <c r="K19" s="12" t="s">
        <v>528</v>
      </c>
      <c r="L19" s="13">
        <v>46252</v>
      </c>
    </row>
    <row r="20" ht="58" customHeight="1" spans="1:12">
      <c r="A20" s="11">
        <v>19</v>
      </c>
      <c r="B20" s="12" t="s">
        <v>529</v>
      </c>
      <c r="C20" s="12" t="s">
        <v>96</v>
      </c>
      <c r="D20" s="12" t="s">
        <v>530</v>
      </c>
      <c r="E20" s="12" t="s">
        <v>165</v>
      </c>
      <c r="F20" s="12" t="s">
        <v>215</v>
      </c>
      <c r="G20" s="12" t="s">
        <v>531</v>
      </c>
      <c r="H20" s="12" t="s">
        <v>29</v>
      </c>
      <c r="I20" s="12" t="s">
        <v>455</v>
      </c>
      <c r="J20" s="12" t="s">
        <v>93</v>
      </c>
      <c r="K20" s="12" t="s">
        <v>443</v>
      </c>
      <c r="L20" s="13">
        <v>46252</v>
      </c>
    </row>
    <row r="21" ht="58" customHeight="1" spans="1:12">
      <c r="A21" s="11">
        <v>20</v>
      </c>
      <c r="B21" s="12" t="s">
        <v>532</v>
      </c>
      <c r="C21" s="12" t="s">
        <v>533</v>
      </c>
      <c r="D21" s="12" t="s">
        <v>534</v>
      </c>
      <c r="E21" s="12" t="s">
        <v>535</v>
      </c>
      <c r="F21" s="12" t="s">
        <v>77</v>
      </c>
      <c r="G21" s="12" t="s">
        <v>536</v>
      </c>
      <c r="H21" s="12" t="s">
        <v>29</v>
      </c>
      <c r="I21" s="12" t="s">
        <v>455</v>
      </c>
      <c r="J21" s="12" t="s">
        <v>86</v>
      </c>
      <c r="K21" s="12" t="s">
        <v>80</v>
      </c>
      <c r="L21" s="13">
        <v>46252</v>
      </c>
    </row>
    <row r="22" ht="58" customHeight="1" spans="1:12">
      <c r="A22" s="11">
        <v>21</v>
      </c>
      <c r="B22" s="12" t="s">
        <v>537</v>
      </c>
      <c r="C22" s="12" t="s">
        <v>538</v>
      </c>
      <c r="D22" s="12" t="s">
        <v>539</v>
      </c>
      <c r="E22" s="12" t="s">
        <v>540</v>
      </c>
      <c r="F22" s="12" t="s">
        <v>541</v>
      </c>
      <c r="G22" s="12" t="s">
        <v>542</v>
      </c>
      <c r="H22" s="12" t="s">
        <v>29</v>
      </c>
      <c r="I22" s="12" t="s">
        <v>455</v>
      </c>
      <c r="J22" s="12" t="s">
        <v>71</v>
      </c>
      <c r="K22" s="12" t="s">
        <v>174</v>
      </c>
      <c r="L22" s="13">
        <v>46252</v>
      </c>
    </row>
    <row r="23" ht="58" customHeight="1" spans="1:12">
      <c r="A23" s="11">
        <v>22</v>
      </c>
      <c r="B23" s="12" t="s">
        <v>543</v>
      </c>
      <c r="C23" s="12" t="s">
        <v>544</v>
      </c>
      <c r="D23" s="12" t="s">
        <v>545</v>
      </c>
      <c r="E23" s="12" t="s">
        <v>546</v>
      </c>
      <c r="F23" s="12" t="s">
        <v>547</v>
      </c>
      <c r="G23" s="12" t="s">
        <v>548</v>
      </c>
      <c r="H23" s="12" t="s">
        <v>29</v>
      </c>
      <c r="I23" s="12" t="s">
        <v>455</v>
      </c>
      <c r="J23" s="12" t="s">
        <v>71</v>
      </c>
      <c r="K23" s="12" t="s">
        <v>456</v>
      </c>
      <c r="L23" s="13">
        <v>46252</v>
      </c>
    </row>
    <row r="24" ht="58" customHeight="1" spans="1:12">
      <c r="A24" s="11">
        <v>23</v>
      </c>
      <c r="B24" s="12" t="s">
        <v>549</v>
      </c>
      <c r="C24" s="12" t="s">
        <v>550</v>
      </c>
      <c r="D24" s="12" t="s">
        <v>551</v>
      </c>
      <c r="E24" s="12" t="s">
        <v>552</v>
      </c>
      <c r="F24" s="12" t="s">
        <v>77</v>
      </c>
      <c r="G24" s="12" t="s">
        <v>553</v>
      </c>
      <c r="H24" s="12" t="s">
        <v>29</v>
      </c>
      <c r="I24" s="12" t="s">
        <v>455</v>
      </c>
      <c r="J24" s="12" t="s">
        <v>121</v>
      </c>
      <c r="K24" s="12" t="s">
        <v>554</v>
      </c>
      <c r="L24" s="13">
        <v>46252</v>
      </c>
    </row>
    <row r="25" ht="58" customHeight="1" spans="1:12">
      <c r="A25" s="11">
        <v>24</v>
      </c>
      <c r="B25" s="12" t="s">
        <v>555</v>
      </c>
      <c r="C25" s="12" t="s">
        <v>556</v>
      </c>
      <c r="D25" s="12" t="s">
        <v>557</v>
      </c>
      <c r="E25" s="12" t="s">
        <v>558</v>
      </c>
      <c r="F25" s="12" t="s">
        <v>559</v>
      </c>
      <c r="G25" s="12" t="s">
        <v>560</v>
      </c>
      <c r="H25" s="12" t="s">
        <v>29</v>
      </c>
      <c r="I25" s="12" t="s">
        <v>455</v>
      </c>
      <c r="J25" s="12" t="s">
        <v>194</v>
      </c>
      <c r="K25" s="12" t="s">
        <v>561</v>
      </c>
      <c r="L25" s="13">
        <v>46252</v>
      </c>
    </row>
    <row r="26" ht="58" customHeight="1" spans="1:12">
      <c r="A26" s="11">
        <v>25</v>
      </c>
      <c r="B26" s="12" t="s">
        <v>562</v>
      </c>
      <c r="C26" s="12" t="s">
        <v>96</v>
      </c>
      <c r="D26" s="12" t="s">
        <v>563</v>
      </c>
      <c r="E26" s="12" t="s">
        <v>564</v>
      </c>
      <c r="F26" s="12" t="s">
        <v>565</v>
      </c>
      <c r="G26" s="12" t="s">
        <v>566</v>
      </c>
      <c r="H26" s="12" t="s">
        <v>29</v>
      </c>
      <c r="I26" s="12" t="s">
        <v>483</v>
      </c>
      <c r="J26" s="12" t="s">
        <v>93</v>
      </c>
      <c r="K26" s="12" t="s">
        <v>94</v>
      </c>
      <c r="L26" s="13">
        <v>46252</v>
      </c>
    </row>
    <row r="27" ht="58" customHeight="1" spans="1:12">
      <c r="A27" s="11">
        <v>26</v>
      </c>
      <c r="B27" s="12" t="s">
        <v>567</v>
      </c>
      <c r="C27" s="12" t="s">
        <v>568</v>
      </c>
      <c r="D27" s="12" t="s">
        <v>569</v>
      </c>
      <c r="E27" s="12" t="s">
        <v>227</v>
      </c>
      <c r="F27" s="12" t="s">
        <v>570</v>
      </c>
      <c r="G27" s="12" t="s">
        <v>571</v>
      </c>
      <c r="H27" s="12" t="s">
        <v>29</v>
      </c>
      <c r="I27" s="12" t="s">
        <v>483</v>
      </c>
      <c r="J27" s="12" t="s">
        <v>93</v>
      </c>
      <c r="K27" s="12" t="s">
        <v>94</v>
      </c>
      <c r="L27" s="13">
        <v>46252</v>
      </c>
    </row>
    <row r="28" ht="58" customHeight="1" spans="1:12">
      <c r="A28" s="11">
        <v>27</v>
      </c>
      <c r="B28" s="12" t="s">
        <v>572</v>
      </c>
      <c r="C28" s="12" t="s">
        <v>573</v>
      </c>
      <c r="D28" s="12" t="s">
        <v>574</v>
      </c>
      <c r="E28" s="12" t="s">
        <v>575</v>
      </c>
      <c r="F28" s="12" t="s">
        <v>576</v>
      </c>
      <c r="G28" s="12" t="s">
        <v>577</v>
      </c>
      <c r="H28" s="12" t="s">
        <v>29</v>
      </c>
      <c r="I28" s="12" t="s">
        <v>483</v>
      </c>
      <c r="J28" s="12" t="s">
        <v>93</v>
      </c>
      <c r="K28" s="12" t="s">
        <v>94</v>
      </c>
      <c r="L28" s="13">
        <v>46252</v>
      </c>
    </row>
    <row r="29" ht="58" customHeight="1" spans="1:12">
      <c r="A29" s="11">
        <v>28</v>
      </c>
      <c r="B29" s="12" t="s">
        <v>578</v>
      </c>
      <c r="C29" s="12" t="s">
        <v>511</v>
      </c>
      <c r="D29" s="12" t="s">
        <v>579</v>
      </c>
      <c r="E29" s="12" t="s">
        <v>280</v>
      </c>
      <c r="F29" s="12" t="s">
        <v>215</v>
      </c>
      <c r="G29" s="12" t="s">
        <v>580</v>
      </c>
      <c r="H29" s="12" t="s">
        <v>29</v>
      </c>
      <c r="I29" s="12" t="s">
        <v>483</v>
      </c>
      <c r="J29" s="12" t="s">
        <v>93</v>
      </c>
      <c r="K29" s="12" t="s">
        <v>443</v>
      </c>
      <c r="L29" s="13">
        <v>46252</v>
      </c>
    </row>
    <row r="30" ht="58" customHeight="1" spans="1:12">
      <c r="A30" s="11">
        <v>29</v>
      </c>
      <c r="B30" s="12" t="s">
        <v>581</v>
      </c>
      <c r="C30" s="12" t="s">
        <v>582</v>
      </c>
      <c r="D30" s="12" t="s">
        <v>583</v>
      </c>
      <c r="E30" s="12" t="s">
        <v>584</v>
      </c>
      <c r="F30" s="12" t="s">
        <v>77</v>
      </c>
      <c r="G30" s="12" t="s">
        <v>585</v>
      </c>
      <c r="H30" s="12" t="s">
        <v>29</v>
      </c>
      <c r="I30" s="12" t="s">
        <v>586</v>
      </c>
      <c r="J30" s="12" t="s">
        <v>209</v>
      </c>
      <c r="K30" s="12" t="s">
        <v>587</v>
      </c>
      <c r="L30" s="13">
        <v>46252</v>
      </c>
    </row>
    <row r="31" ht="58" customHeight="1" spans="1:12">
      <c r="A31" s="11">
        <v>30</v>
      </c>
      <c r="B31" s="12" t="s">
        <v>588</v>
      </c>
      <c r="C31" s="12" t="s">
        <v>589</v>
      </c>
      <c r="D31" s="12" t="s">
        <v>590</v>
      </c>
      <c r="E31" s="12" t="s">
        <v>591</v>
      </c>
      <c r="F31" s="12" t="s">
        <v>77</v>
      </c>
      <c r="G31" s="12" t="s">
        <v>592</v>
      </c>
      <c r="H31" s="12" t="s">
        <v>29</v>
      </c>
      <c r="I31" s="12" t="s">
        <v>586</v>
      </c>
      <c r="J31" s="12" t="s">
        <v>503</v>
      </c>
      <c r="K31" s="12" t="s">
        <v>80</v>
      </c>
      <c r="L31" s="13">
        <v>46252</v>
      </c>
    </row>
    <row r="32" ht="58" customHeight="1" spans="1:12">
      <c r="A32" s="11">
        <v>31</v>
      </c>
      <c r="B32" s="12" t="s">
        <v>593</v>
      </c>
      <c r="C32" s="12" t="s">
        <v>594</v>
      </c>
      <c r="D32" s="12" t="s">
        <v>595</v>
      </c>
      <c r="E32" s="12" t="s">
        <v>596</v>
      </c>
      <c r="F32" s="12" t="s">
        <v>77</v>
      </c>
      <c r="G32" s="12" t="s">
        <v>597</v>
      </c>
      <c r="H32" s="12" t="s">
        <v>29</v>
      </c>
      <c r="I32" s="12" t="s">
        <v>455</v>
      </c>
      <c r="J32" s="12" t="s">
        <v>79</v>
      </c>
      <c r="K32" s="12" t="s">
        <v>80</v>
      </c>
      <c r="L32" s="13">
        <v>46252</v>
      </c>
    </row>
    <row r="33" ht="58" customHeight="1" spans="1:12">
      <c r="A33" s="5">
        <v>32</v>
      </c>
      <c r="B33" s="6" t="s">
        <v>598</v>
      </c>
      <c r="C33" s="6" t="s">
        <v>103</v>
      </c>
      <c r="D33" s="6" t="s">
        <v>599</v>
      </c>
      <c r="E33" s="6" t="s">
        <v>600</v>
      </c>
      <c r="F33" s="6" t="s">
        <v>601</v>
      </c>
      <c r="G33" s="6" t="s">
        <v>602</v>
      </c>
      <c r="H33" s="6" t="s">
        <v>29</v>
      </c>
      <c r="I33" s="6" t="s">
        <v>455</v>
      </c>
      <c r="J33" s="6" t="s">
        <v>93</v>
      </c>
      <c r="K33" s="6" t="s">
        <v>94</v>
      </c>
      <c r="L33" s="7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showGridLines="0" workbookViewId="0">
      <selection activeCell="A1" sqref="A1"/>
    </sheetView>
  </sheetViews>
  <sheetFormatPr defaultColWidth="9" defaultRowHeight="14.5"/>
  <cols>
    <col min="1" max="1" width="7" customWidth="1"/>
    <col min="2" max="2" width="30" customWidth="1"/>
    <col min="3" max="3" width="18" customWidth="1"/>
    <col min="4" max="4" width="48" customWidth="1"/>
    <col min="5" max="5" width="34" customWidth="1"/>
    <col min="6" max="6" width="40" customWidth="1"/>
    <col min="7" max="7" width="50" customWidth="1"/>
    <col min="8" max="8" width="13" customWidth="1"/>
    <col min="9" max="9" width="14" customWidth="1"/>
    <col min="10" max="10" width="16" customWidth="1"/>
    <col min="11" max="11" width="60" customWidth="1"/>
    <col min="12" max="12" width="13" customWidth="1"/>
  </cols>
  <sheetData>
    <row r="1" ht="30" customHeight="1" spans="1:1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11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1</v>
      </c>
    </row>
    <row r="2" ht="58" customHeight="1" spans="1:12">
      <c r="A2" s="2">
        <v>1</v>
      </c>
      <c r="B2" s="3" t="s">
        <v>603</v>
      </c>
      <c r="C2" s="3" t="s">
        <v>582</v>
      </c>
      <c r="D2" s="3" t="s">
        <v>604</v>
      </c>
      <c r="E2" s="3" t="s">
        <v>605</v>
      </c>
      <c r="F2" s="3" t="s">
        <v>606</v>
      </c>
      <c r="G2" s="3" t="s">
        <v>607</v>
      </c>
      <c r="H2" s="3" t="s">
        <v>30</v>
      </c>
      <c r="I2" s="3" t="s">
        <v>608</v>
      </c>
      <c r="J2" s="3" t="s">
        <v>209</v>
      </c>
      <c r="K2" s="3" t="s">
        <v>80</v>
      </c>
      <c r="L2" s="4">
        <v>46252</v>
      </c>
    </row>
    <row r="3" ht="58" customHeight="1" spans="1:12">
      <c r="A3" s="11">
        <v>2</v>
      </c>
      <c r="B3" s="12" t="s">
        <v>609</v>
      </c>
      <c r="C3" s="12" t="s">
        <v>418</v>
      </c>
      <c r="D3" s="12" t="s">
        <v>610</v>
      </c>
      <c r="E3" s="12" t="s">
        <v>611</v>
      </c>
      <c r="F3" s="12" t="s">
        <v>612</v>
      </c>
      <c r="G3" s="12" t="s">
        <v>613</v>
      </c>
      <c r="H3" s="12" t="s">
        <v>30</v>
      </c>
      <c r="I3" s="12" t="s">
        <v>608</v>
      </c>
      <c r="J3" s="12" t="s">
        <v>93</v>
      </c>
      <c r="K3" s="12" t="s">
        <v>94</v>
      </c>
      <c r="L3" s="13">
        <v>46252</v>
      </c>
    </row>
    <row r="4" ht="58" customHeight="1" spans="1:12">
      <c r="A4" s="11">
        <v>3</v>
      </c>
      <c r="B4" s="12" t="s">
        <v>614</v>
      </c>
      <c r="C4" s="12" t="s">
        <v>615</v>
      </c>
      <c r="D4" s="12" t="s">
        <v>616</v>
      </c>
      <c r="E4" s="12" t="s">
        <v>617</v>
      </c>
      <c r="F4" s="12" t="s">
        <v>618</v>
      </c>
      <c r="G4" s="12" t="s">
        <v>619</v>
      </c>
      <c r="H4" s="12" t="s">
        <v>30</v>
      </c>
      <c r="I4" s="12" t="s">
        <v>620</v>
      </c>
      <c r="J4" s="12" t="s">
        <v>71</v>
      </c>
      <c r="K4" s="12" t="s">
        <v>174</v>
      </c>
      <c r="L4" s="13">
        <v>46252</v>
      </c>
    </row>
    <row r="5" ht="58" customHeight="1" spans="1:12">
      <c r="A5" s="11">
        <v>4</v>
      </c>
      <c r="B5" s="12" t="s">
        <v>621</v>
      </c>
      <c r="C5" s="12" t="s">
        <v>622</v>
      </c>
      <c r="D5" s="12" t="s">
        <v>623</v>
      </c>
      <c r="E5" s="12" t="s">
        <v>624</v>
      </c>
      <c r="F5" s="12" t="s">
        <v>625</v>
      </c>
      <c r="G5" s="12" t="s">
        <v>626</v>
      </c>
      <c r="H5" s="12" t="s">
        <v>30</v>
      </c>
      <c r="I5" s="12" t="s">
        <v>608</v>
      </c>
      <c r="J5" s="12" t="s">
        <v>209</v>
      </c>
      <c r="K5" s="12" t="s">
        <v>554</v>
      </c>
      <c r="L5" s="13">
        <v>46252</v>
      </c>
    </row>
    <row r="6" ht="58" customHeight="1" spans="1:12">
      <c r="A6" s="11">
        <v>5</v>
      </c>
      <c r="B6" s="12" t="s">
        <v>627</v>
      </c>
      <c r="C6" s="12" t="s">
        <v>628</v>
      </c>
      <c r="D6" s="12" t="s">
        <v>629</v>
      </c>
      <c r="E6" s="12" t="s">
        <v>630</v>
      </c>
      <c r="F6" s="12" t="s">
        <v>631</v>
      </c>
      <c r="G6" s="12" t="s">
        <v>632</v>
      </c>
      <c r="H6" s="12" t="s">
        <v>30</v>
      </c>
      <c r="I6" s="12" t="s">
        <v>608</v>
      </c>
      <c r="J6" s="12" t="s">
        <v>93</v>
      </c>
      <c r="K6" s="12" t="s">
        <v>94</v>
      </c>
      <c r="L6" s="13">
        <v>46252</v>
      </c>
    </row>
    <row r="7" ht="58" customHeight="1" spans="1:12">
      <c r="A7" s="11">
        <v>6</v>
      </c>
      <c r="B7" s="12" t="s">
        <v>633</v>
      </c>
      <c r="C7" s="12" t="s">
        <v>96</v>
      </c>
      <c r="D7" s="12" t="s">
        <v>634</v>
      </c>
      <c r="E7" s="12" t="s">
        <v>635</v>
      </c>
      <c r="F7" s="12" t="s">
        <v>636</v>
      </c>
      <c r="G7" s="12" t="s">
        <v>637</v>
      </c>
      <c r="H7" s="12" t="s">
        <v>30</v>
      </c>
      <c r="I7" s="12" t="s">
        <v>608</v>
      </c>
      <c r="J7" s="12" t="s">
        <v>93</v>
      </c>
      <c r="K7" s="12" t="s">
        <v>294</v>
      </c>
      <c r="L7" s="13">
        <v>46252</v>
      </c>
    </row>
    <row r="8" ht="58" customHeight="1" spans="1:12">
      <c r="A8" s="11">
        <v>7</v>
      </c>
      <c r="B8" s="12" t="s">
        <v>638</v>
      </c>
      <c r="C8" s="12" t="s">
        <v>149</v>
      </c>
      <c r="D8" s="12" t="s">
        <v>639</v>
      </c>
      <c r="E8" s="12" t="s">
        <v>640</v>
      </c>
      <c r="F8" s="12" t="s">
        <v>641</v>
      </c>
      <c r="G8" s="12" t="s">
        <v>642</v>
      </c>
      <c r="H8" s="12" t="s">
        <v>30</v>
      </c>
      <c r="I8" s="12" t="s">
        <v>608</v>
      </c>
      <c r="J8" s="12" t="s">
        <v>93</v>
      </c>
      <c r="K8" s="12" t="s">
        <v>94</v>
      </c>
      <c r="L8" s="13">
        <v>46252</v>
      </c>
    </row>
    <row r="9" ht="58" customHeight="1" spans="1:12">
      <c r="A9" s="11">
        <v>8</v>
      </c>
      <c r="B9" s="12" t="s">
        <v>643</v>
      </c>
      <c r="C9" s="12" t="s">
        <v>594</v>
      </c>
      <c r="D9" s="12" t="s">
        <v>644</v>
      </c>
      <c r="E9" s="12" t="s">
        <v>645</v>
      </c>
      <c r="F9" s="12" t="s">
        <v>215</v>
      </c>
      <c r="G9" s="12" t="s">
        <v>646</v>
      </c>
      <c r="H9" s="12" t="s">
        <v>30</v>
      </c>
      <c r="I9" s="12" t="s">
        <v>608</v>
      </c>
      <c r="J9" s="12" t="s">
        <v>79</v>
      </c>
      <c r="K9" s="12" t="s">
        <v>647</v>
      </c>
      <c r="L9" s="13">
        <v>46252</v>
      </c>
    </row>
    <row r="10" ht="58" customHeight="1" spans="1:12">
      <c r="A10" s="11">
        <v>9</v>
      </c>
      <c r="B10" s="12" t="s">
        <v>648</v>
      </c>
      <c r="C10" s="12" t="s">
        <v>649</v>
      </c>
      <c r="D10" s="12" t="s">
        <v>650</v>
      </c>
      <c r="E10" s="12" t="s">
        <v>552</v>
      </c>
      <c r="F10" s="12" t="s">
        <v>77</v>
      </c>
      <c r="G10" s="12" t="s">
        <v>651</v>
      </c>
      <c r="H10" s="12" t="s">
        <v>30</v>
      </c>
      <c r="I10" s="12" t="s">
        <v>608</v>
      </c>
      <c r="J10" s="12" t="s">
        <v>121</v>
      </c>
      <c r="K10" s="12" t="s">
        <v>554</v>
      </c>
      <c r="L10" s="13">
        <v>46252</v>
      </c>
    </row>
    <row r="11" ht="58" customHeight="1" spans="1:12">
      <c r="A11" s="11">
        <v>10</v>
      </c>
      <c r="B11" s="12" t="s">
        <v>652</v>
      </c>
      <c r="C11" s="12" t="s">
        <v>653</v>
      </c>
      <c r="D11" s="12" t="s">
        <v>654</v>
      </c>
      <c r="E11" s="12" t="s">
        <v>655</v>
      </c>
      <c r="F11" s="12" t="s">
        <v>77</v>
      </c>
      <c r="G11" s="12" t="s">
        <v>656</v>
      </c>
      <c r="H11" s="12" t="s">
        <v>30</v>
      </c>
      <c r="I11" s="12" t="s">
        <v>608</v>
      </c>
      <c r="J11" s="12" t="s">
        <v>202</v>
      </c>
      <c r="K11" s="12" t="s">
        <v>657</v>
      </c>
      <c r="L11" s="13">
        <v>46252</v>
      </c>
    </row>
    <row r="12" ht="58" customHeight="1" spans="1:12">
      <c r="A12" s="11">
        <v>11</v>
      </c>
      <c r="B12" s="12" t="s">
        <v>658</v>
      </c>
      <c r="C12" s="12" t="s">
        <v>659</v>
      </c>
      <c r="D12" s="12" t="s">
        <v>660</v>
      </c>
      <c r="E12" s="12" t="s">
        <v>661</v>
      </c>
      <c r="F12" s="12" t="s">
        <v>662</v>
      </c>
      <c r="G12" s="12" t="s">
        <v>663</v>
      </c>
      <c r="H12" s="12" t="s">
        <v>30</v>
      </c>
      <c r="I12" s="12" t="s">
        <v>608</v>
      </c>
      <c r="J12" s="12" t="s">
        <v>437</v>
      </c>
      <c r="K12" s="12" t="s">
        <v>664</v>
      </c>
      <c r="L12" s="13">
        <v>46252</v>
      </c>
    </row>
    <row r="13" ht="58" customHeight="1" spans="1:12">
      <c r="A13" s="11">
        <v>12</v>
      </c>
      <c r="B13" s="12" t="s">
        <v>665</v>
      </c>
      <c r="C13" s="12" t="s">
        <v>666</v>
      </c>
      <c r="D13" s="12" t="s">
        <v>667</v>
      </c>
      <c r="E13" s="12" t="s">
        <v>668</v>
      </c>
      <c r="F13" s="12" t="s">
        <v>669</v>
      </c>
      <c r="G13" s="12" t="s">
        <v>670</v>
      </c>
      <c r="H13" s="12" t="s">
        <v>30</v>
      </c>
      <c r="I13" s="12" t="s">
        <v>608</v>
      </c>
      <c r="J13" s="12" t="s">
        <v>93</v>
      </c>
      <c r="K13" s="12" t="s">
        <v>671</v>
      </c>
      <c r="L13" s="13">
        <v>46252</v>
      </c>
    </row>
    <row r="14" ht="58" customHeight="1" spans="1:12">
      <c r="A14" s="11">
        <v>13</v>
      </c>
      <c r="B14" s="12" t="s">
        <v>672</v>
      </c>
      <c r="C14" s="12" t="s">
        <v>673</v>
      </c>
      <c r="D14" s="12" t="s">
        <v>674</v>
      </c>
      <c r="E14" s="12" t="s">
        <v>675</v>
      </c>
      <c r="F14" s="12" t="s">
        <v>77</v>
      </c>
      <c r="G14" s="12" t="s">
        <v>676</v>
      </c>
      <c r="H14" s="12" t="s">
        <v>30</v>
      </c>
      <c r="I14" s="12" t="s">
        <v>608</v>
      </c>
      <c r="J14" s="12" t="s">
        <v>202</v>
      </c>
      <c r="K14" s="12" t="s">
        <v>677</v>
      </c>
      <c r="L14" s="13">
        <v>46252</v>
      </c>
    </row>
    <row r="15" ht="58" customHeight="1" spans="1:12">
      <c r="A15" s="11">
        <v>14</v>
      </c>
      <c r="B15" s="12" t="s">
        <v>678</v>
      </c>
      <c r="C15" s="12" t="s">
        <v>679</v>
      </c>
      <c r="D15" s="12" t="s">
        <v>680</v>
      </c>
      <c r="E15" s="12" t="s">
        <v>681</v>
      </c>
      <c r="F15" s="12" t="s">
        <v>77</v>
      </c>
      <c r="G15" s="12" t="s">
        <v>682</v>
      </c>
      <c r="H15" s="12" t="s">
        <v>30</v>
      </c>
      <c r="I15" s="12" t="s">
        <v>608</v>
      </c>
      <c r="J15" s="12" t="s">
        <v>93</v>
      </c>
      <c r="K15" s="12" t="s">
        <v>294</v>
      </c>
      <c r="L15" s="13">
        <v>46252</v>
      </c>
    </row>
    <row r="16" ht="58" customHeight="1" spans="1:12">
      <c r="A16" s="11">
        <v>15</v>
      </c>
      <c r="B16" s="12" t="s">
        <v>683</v>
      </c>
      <c r="C16" s="12" t="s">
        <v>96</v>
      </c>
      <c r="D16" s="12" t="s">
        <v>684</v>
      </c>
      <c r="E16" s="12" t="s">
        <v>685</v>
      </c>
      <c r="F16" s="12" t="s">
        <v>686</v>
      </c>
      <c r="G16" s="12" t="s">
        <v>687</v>
      </c>
      <c r="H16" s="12" t="s">
        <v>30</v>
      </c>
      <c r="I16" s="12" t="s">
        <v>608</v>
      </c>
      <c r="J16" s="12" t="s">
        <v>93</v>
      </c>
      <c r="K16" s="12" t="s">
        <v>94</v>
      </c>
      <c r="L16" s="13">
        <v>46252</v>
      </c>
    </row>
    <row r="17" ht="58" customHeight="1" spans="1:12">
      <c r="A17" s="11">
        <v>16</v>
      </c>
      <c r="B17" s="12" t="s">
        <v>688</v>
      </c>
      <c r="C17" s="12" t="s">
        <v>96</v>
      </c>
      <c r="D17" s="12" t="s">
        <v>689</v>
      </c>
      <c r="E17" s="12" t="s">
        <v>690</v>
      </c>
      <c r="F17" s="12" t="s">
        <v>691</v>
      </c>
      <c r="G17" s="12" t="s">
        <v>692</v>
      </c>
      <c r="H17" s="12" t="s">
        <v>30</v>
      </c>
      <c r="I17" s="12" t="s">
        <v>608</v>
      </c>
      <c r="J17" s="12" t="s">
        <v>93</v>
      </c>
      <c r="K17" s="12" t="s">
        <v>94</v>
      </c>
      <c r="L17" s="13">
        <v>46252</v>
      </c>
    </row>
    <row r="18" ht="58" customHeight="1" spans="1:12">
      <c r="A18" s="11">
        <v>17</v>
      </c>
      <c r="B18" s="12" t="s">
        <v>693</v>
      </c>
      <c r="C18" s="12" t="s">
        <v>694</v>
      </c>
      <c r="D18" s="12" t="s">
        <v>695</v>
      </c>
      <c r="E18" s="12" t="s">
        <v>696</v>
      </c>
      <c r="F18" s="12" t="s">
        <v>697</v>
      </c>
      <c r="G18" s="12" t="s">
        <v>698</v>
      </c>
      <c r="H18" s="12" t="s">
        <v>30</v>
      </c>
      <c r="I18" s="12" t="s">
        <v>608</v>
      </c>
      <c r="J18" s="12" t="s">
        <v>699</v>
      </c>
      <c r="K18" s="12" t="s">
        <v>700</v>
      </c>
      <c r="L18" s="13">
        <v>46252</v>
      </c>
    </row>
    <row r="19" ht="58" customHeight="1" spans="1:12">
      <c r="A19" s="11">
        <v>18</v>
      </c>
      <c r="B19" s="12" t="s">
        <v>701</v>
      </c>
      <c r="C19" s="12" t="s">
        <v>702</v>
      </c>
      <c r="D19" s="12" t="s">
        <v>703</v>
      </c>
      <c r="E19" s="12" t="s">
        <v>704</v>
      </c>
      <c r="F19" s="12" t="s">
        <v>705</v>
      </c>
      <c r="G19" s="12" t="s">
        <v>706</v>
      </c>
      <c r="H19" s="12" t="s">
        <v>30</v>
      </c>
      <c r="I19" s="12" t="s">
        <v>707</v>
      </c>
      <c r="J19" s="12" t="s">
        <v>121</v>
      </c>
      <c r="K19" s="12" t="s">
        <v>708</v>
      </c>
      <c r="L19" s="13">
        <v>46252</v>
      </c>
    </row>
    <row r="20" ht="58" customHeight="1" spans="1:12">
      <c r="A20" s="11">
        <v>19</v>
      </c>
      <c r="B20" s="12" t="s">
        <v>709</v>
      </c>
      <c r="C20" s="12" t="s">
        <v>96</v>
      </c>
      <c r="D20" s="12" t="s">
        <v>710</v>
      </c>
      <c r="E20" s="12" t="s">
        <v>711</v>
      </c>
      <c r="F20" s="12" t="s">
        <v>712</v>
      </c>
      <c r="G20" s="12" t="s">
        <v>713</v>
      </c>
      <c r="H20" s="12" t="s">
        <v>30</v>
      </c>
      <c r="I20" s="12" t="s">
        <v>608</v>
      </c>
      <c r="J20" s="12" t="s">
        <v>71</v>
      </c>
      <c r="K20" s="12" t="s">
        <v>714</v>
      </c>
      <c r="L20" s="13">
        <v>46252</v>
      </c>
    </row>
    <row r="21" ht="58" customHeight="1" spans="1:12">
      <c r="A21" s="11">
        <v>20</v>
      </c>
      <c r="B21" s="12" t="s">
        <v>715</v>
      </c>
      <c r="C21" s="12" t="s">
        <v>96</v>
      </c>
      <c r="D21" s="12" t="s">
        <v>716</v>
      </c>
      <c r="E21" s="12" t="s">
        <v>165</v>
      </c>
      <c r="F21" s="12" t="s">
        <v>215</v>
      </c>
      <c r="G21" s="12" t="s">
        <v>717</v>
      </c>
      <c r="H21" s="12" t="s">
        <v>30</v>
      </c>
      <c r="I21" s="12" t="s">
        <v>718</v>
      </c>
      <c r="J21" s="12" t="s">
        <v>93</v>
      </c>
      <c r="K21" s="12" t="s">
        <v>719</v>
      </c>
      <c r="L21" s="13">
        <v>46252</v>
      </c>
    </row>
    <row r="22" ht="58" customHeight="1" spans="1:12">
      <c r="A22" s="11">
        <v>21</v>
      </c>
      <c r="B22" s="12" t="s">
        <v>720</v>
      </c>
      <c r="C22" s="12" t="s">
        <v>721</v>
      </c>
      <c r="D22" s="12" t="s">
        <v>722</v>
      </c>
      <c r="E22" s="12" t="s">
        <v>723</v>
      </c>
      <c r="F22" s="12" t="s">
        <v>724</v>
      </c>
      <c r="G22" s="12" t="s">
        <v>725</v>
      </c>
      <c r="H22" s="12" t="s">
        <v>30</v>
      </c>
      <c r="I22" s="12" t="s">
        <v>608</v>
      </c>
      <c r="J22" s="12" t="s">
        <v>71</v>
      </c>
      <c r="K22" s="12" t="s">
        <v>174</v>
      </c>
      <c r="L22" s="13">
        <v>46252</v>
      </c>
    </row>
    <row r="23" ht="58" customHeight="1" spans="1:12">
      <c r="A23" s="11">
        <v>22</v>
      </c>
      <c r="B23" s="12" t="s">
        <v>726</v>
      </c>
      <c r="C23" s="12" t="s">
        <v>628</v>
      </c>
      <c r="D23" s="12" t="s">
        <v>727</v>
      </c>
      <c r="E23" s="12" t="s">
        <v>728</v>
      </c>
      <c r="F23" s="12" t="s">
        <v>729</v>
      </c>
      <c r="G23" s="12" t="s">
        <v>730</v>
      </c>
      <c r="H23" s="12" t="s">
        <v>30</v>
      </c>
      <c r="I23" s="12" t="s">
        <v>608</v>
      </c>
      <c r="J23" s="12" t="s">
        <v>93</v>
      </c>
      <c r="K23" s="12" t="s">
        <v>94</v>
      </c>
      <c r="L23" s="13">
        <v>46252</v>
      </c>
    </row>
    <row r="24" ht="58" customHeight="1" spans="1:12">
      <c r="A24" s="11">
        <v>23</v>
      </c>
      <c r="B24" s="12" t="s">
        <v>731</v>
      </c>
      <c r="C24" s="12" t="s">
        <v>732</v>
      </c>
      <c r="D24" s="12" t="s">
        <v>733</v>
      </c>
      <c r="E24" s="12" t="s">
        <v>734</v>
      </c>
      <c r="F24" s="12" t="s">
        <v>215</v>
      </c>
      <c r="G24" s="12" t="s">
        <v>735</v>
      </c>
      <c r="H24" s="12" t="s">
        <v>30</v>
      </c>
      <c r="I24" s="12" t="s">
        <v>608</v>
      </c>
      <c r="J24" s="12" t="s">
        <v>86</v>
      </c>
      <c r="K24" s="12" t="s">
        <v>80</v>
      </c>
      <c r="L24" s="13">
        <v>46252</v>
      </c>
    </row>
    <row r="25" ht="58" customHeight="1" spans="1:12">
      <c r="A25" s="11">
        <v>24</v>
      </c>
      <c r="B25" s="12" t="s">
        <v>736</v>
      </c>
      <c r="C25" s="12" t="s">
        <v>737</v>
      </c>
      <c r="D25" s="12" t="s">
        <v>738</v>
      </c>
      <c r="E25" s="12" t="s">
        <v>739</v>
      </c>
      <c r="F25" s="12" t="s">
        <v>740</v>
      </c>
      <c r="G25" s="12" t="s">
        <v>741</v>
      </c>
      <c r="H25" s="12" t="s">
        <v>30</v>
      </c>
      <c r="I25" s="12" t="s">
        <v>608</v>
      </c>
      <c r="J25" s="12" t="s">
        <v>742</v>
      </c>
      <c r="K25" s="12" t="s">
        <v>743</v>
      </c>
      <c r="L25" s="13">
        <v>46252</v>
      </c>
    </row>
    <row r="26" ht="58" customHeight="1" spans="1:12">
      <c r="A26" s="11">
        <v>25</v>
      </c>
      <c r="B26" s="12" t="s">
        <v>744</v>
      </c>
      <c r="C26" s="12" t="s">
        <v>96</v>
      </c>
      <c r="D26" s="12" t="s">
        <v>745</v>
      </c>
      <c r="E26" s="12" t="s">
        <v>746</v>
      </c>
      <c r="F26" s="12" t="s">
        <v>747</v>
      </c>
      <c r="G26" s="12" t="s">
        <v>748</v>
      </c>
      <c r="H26" s="12" t="s">
        <v>30</v>
      </c>
      <c r="I26" s="12" t="s">
        <v>608</v>
      </c>
      <c r="J26" s="12" t="s">
        <v>93</v>
      </c>
      <c r="K26" s="12" t="s">
        <v>94</v>
      </c>
      <c r="L26" s="13">
        <v>46252</v>
      </c>
    </row>
    <row r="27" ht="58" customHeight="1" spans="1:12">
      <c r="A27" s="11">
        <v>26</v>
      </c>
      <c r="B27" s="12" t="s">
        <v>749</v>
      </c>
      <c r="C27" s="12" t="s">
        <v>96</v>
      </c>
      <c r="D27" s="12" t="s">
        <v>750</v>
      </c>
      <c r="E27" s="12" t="s">
        <v>751</v>
      </c>
      <c r="F27" s="12" t="s">
        <v>429</v>
      </c>
      <c r="G27" s="12" t="s">
        <v>752</v>
      </c>
      <c r="H27" s="12" t="s">
        <v>30</v>
      </c>
      <c r="I27" s="12" t="s">
        <v>608</v>
      </c>
      <c r="J27" s="12" t="s">
        <v>93</v>
      </c>
      <c r="K27" s="12" t="s">
        <v>753</v>
      </c>
      <c r="L27" s="13">
        <v>46252</v>
      </c>
    </row>
    <row r="28" ht="58" customHeight="1" spans="1:12">
      <c r="A28" s="5">
        <v>27</v>
      </c>
      <c r="B28" s="6" t="s">
        <v>754</v>
      </c>
      <c r="C28" s="6" t="s">
        <v>96</v>
      </c>
      <c r="D28" s="6" t="s">
        <v>755</v>
      </c>
      <c r="E28" s="6" t="s">
        <v>453</v>
      </c>
      <c r="F28" s="6" t="s">
        <v>756</v>
      </c>
      <c r="G28" s="6" t="s">
        <v>757</v>
      </c>
      <c r="H28" s="6" t="s">
        <v>30</v>
      </c>
      <c r="I28" s="6" t="s">
        <v>620</v>
      </c>
      <c r="J28" s="6" t="s">
        <v>93</v>
      </c>
      <c r="K28" s="6" t="s">
        <v>94</v>
      </c>
      <c r="L28" s="7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showGridLines="0" workbookViewId="0">
      <selection activeCell="A1" sqref="A1"/>
    </sheetView>
  </sheetViews>
  <sheetFormatPr defaultColWidth="9" defaultRowHeight="14.5" outlineLevelRow="3"/>
  <cols>
    <col min="1" max="1" width="7" customWidth="1"/>
    <col min="2" max="2" width="30" customWidth="1"/>
    <col min="3" max="3" width="18" customWidth="1"/>
    <col min="4" max="4" width="48" customWidth="1"/>
    <col min="5" max="5" width="34" customWidth="1"/>
    <col min="6" max="6" width="40" customWidth="1"/>
    <col min="7" max="7" width="50" customWidth="1"/>
    <col min="8" max="8" width="13" customWidth="1"/>
    <col min="9" max="9" width="14" customWidth="1"/>
    <col min="10" max="10" width="16" customWidth="1"/>
    <col min="11" max="11" width="60" customWidth="1"/>
    <col min="12" max="12" width="13" customWidth="1"/>
  </cols>
  <sheetData>
    <row r="1" ht="30" customHeight="1" spans="1:1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11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1</v>
      </c>
    </row>
    <row r="2" ht="58" customHeight="1" spans="1:12">
      <c r="A2" s="2">
        <v>1</v>
      </c>
      <c r="B2" s="3" t="s">
        <v>758</v>
      </c>
      <c r="C2" s="3" t="s">
        <v>759</v>
      </c>
      <c r="D2" s="3" t="s">
        <v>760</v>
      </c>
      <c r="E2" s="3" t="s">
        <v>761</v>
      </c>
      <c r="F2" s="3" t="s">
        <v>762</v>
      </c>
      <c r="G2" s="3" t="s">
        <v>763</v>
      </c>
      <c r="H2" s="3" t="s">
        <v>31</v>
      </c>
      <c r="I2" s="3" t="s">
        <v>764</v>
      </c>
      <c r="J2" s="3" t="s">
        <v>71</v>
      </c>
      <c r="K2" s="3" t="s">
        <v>765</v>
      </c>
      <c r="L2" s="4">
        <v>46252</v>
      </c>
    </row>
    <row r="3" ht="58" customHeight="1" spans="1:12">
      <c r="A3" s="11">
        <v>2</v>
      </c>
      <c r="B3" s="12" t="s">
        <v>766</v>
      </c>
      <c r="C3" s="12" t="s">
        <v>96</v>
      </c>
      <c r="D3" s="12" t="s">
        <v>767</v>
      </c>
      <c r="E3" s="12" t="s">
        <v>768</v>
      </c>
      <c r="F3" s="12" t="s">
        <v>769</v>
      </c>
      <c r="G3" s="12" t="s">
        <v>770</v>
      </c>
      <c r="H3" s="12" t="s">
        <v>31</v>
      </c>
      <c r="I3" s="12" t="s">
        <v>764</v>
      </c>
      <c r="J3" s="12" t="s">
        <v>93</v>
      </c>
      <c r="K3" s="12" t="s">
        <v>771</v>
      </c>
      <c r="L3" s="13">
        <v>46252</v>
      </c>
    </row>
    <row r="4" ht="58" customHeight="1" spans="1:12">
      <c r="A4" s="5">
        <v>3</v>
      </c>
      <c r="B4" s="6" t="s">
        <v>772</v>
      </c>
      <c r="C4" s="6" t="s">
        <v>773</v>
      </c>
      <c r="D4" s="6" t="s">
        <v>774</v>
      </c>
      <c r="E4" s="6" t="s">
        <v>564</v>
      </c>
      <c r="F4" s="6" t="s">
        <v>775</v>
      </c>
      <c r="G4" s="6" t="s">
        <v>776</v>
      </c>
      <c r="H4" s="6" t="s">
        <v>31</v>
      </c>
      <c r="I4" s="6" t="s">
        <v>764</v>
      </c>
      <c r="J4" s="6" t="s">
        <v>93</v>
      </c>
      <c r="K4" s="6" t="s">
        <v>94</v>
      </c>
      <c r="L4" s="7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showGridLines="0" workbookViewId="0">
      <selection activeCell="A1" sqref="A1"/>
    </sheetView>
  </sheetViews>
  <sheetFormatPr defaultColWidth="9" defaultRowHeight="14.5" outlineLevelRow="2"/>
  <cols>
    <col min="1" max="1" width="7" customWidth="1"/>
    <col min="2" max="2" width="30" customWidth="1"/>
    <col min="3" max="3" width="18" customWidth="1"/>
    <col min="4" max="4" width="48" customWidth="1"/>
    <col min="5" max="5" width="34" customWidth="1"/>
    <col min="6" max="6" width="40" customWidth="1"/>
    <col min="7" max="7" width="50" customWidth="1"/>
    <col min="8" max="8" width="13" customWidth="1"/>
    <col min="9" max="9" width="14" customWidth="1"/>
    <col min="10" max="10" width="16" customWidth="1"/>
    <col min="11" max="11" width="60" customWidth="1"/>
    <col min="12" max="12" width="13" customWidth="1"/>
  </cols>
  <sheetData>
    <row r="1" ht="30" customHeight="1" spans="1:1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11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1</v>
      </c>
    </row>
    <row r="2" ht="58" customHeight="1" spans="1:12">
      <c r="A2" s="2">
        <v>1</v>
      </c>
      <c r="B2" s="3" t="s">
        <v>777</v>
      </c>
      <c r="C2" s="3" t="s">
        <v>778</v>
      </c>
      <c r="D2" s="3" t="s">
        <v>779</v>
      </c>
      <c r="E2" s="3" t="s">
        <v>780</v>
      </c>
      <c r="F2" s="3" t="s">
        <v>547</v>
      </c>
      <c r="G2" s="3" t="s">
        <v>781</v>
      </c>
      <c r="H2" s="3" t="s">
        <v>32</v>
      </c>
      <c r="I2" s="3" t="s">
        <v>782</v>
      </c>
      <c r="J2" s="3" t="s">
        <v>71</v>
      </c>
      <c r="K2" s="3" t="s">
        <v>72</v>
      </c>
      <c r="L2" s="4">
        <v>46252</v>
      </c>
    </row>
    <row r="3" ht="58" customHeight="1" spans="1:12">
      <c r="A3" s="5">
        <v>2</v>
      </c>
      <c r="B3" s="6" t="s">
        <v>783</v>
      </c>
      <c r="C3" s="6" t="s">
        <v>773</v>
      </c>
      <c r="D3" s="6" t="s">
        <v>784</v>
      </c>
      <c r="E3" s="6" t="s">
        <v>785</v>
      </c>
      <c r="F3" s="6" t="s">
        <v>786</v>
      </c>
      <c r="G3" s="6" t="s">
        <v>787</v>
      </c>
      <c r="H3" s="6" t="s">
        <v>32</v>
      </c>
      <c r="I3" s="6" t="s">
        <v>782</v>
      </c>
      <c r="J3" s="6" t="s">
        <v>93</v>
      </c>
      <c r="K3" s="6" t="s">
        <v>788</v>
      </c>
      <c r="L3" s="7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showGridLines="0" workbookViewId="0">
      <selection activeCell="A1" sqref="A1"/>
    </sheetView>
  </sheetViews>
  <sheetFormatPr defaultColWidth="9" defaultRowHeight="14.5" outlineLevelRow="3"/>
  <cols>
    <col min="1" max="1" width="7" customWidth="1"/>
    <col min="2" max="2" width="30" customWidth="1"/>
    <col min="3" max="3" width="18" customWidth="1"/>
    <col min="4" max="4" width="48" customWidth="1"/>
    <col min="5" max="5" width="34" customWidth="1"/>
    <col min="6" max="6" width="40" customWidth="1"/>
    <col min="7" max="7" width="50" customWidth="1"/>
    <col min="8" max="8" width="13" customWidth="1"/>
    <col min="9" max="9" width="14" customWidth="1"/>
    <col min="10" max="10" width="16" customWidth="1"/>
    <col min="11" max="11" width="60" customWidth="1"/>
    <col min="12" max="12" width="13" customWidth="1"/>
  </cols>
  <sheetData>
    <row r="1" ht="30" customHeight="1" spans="1:1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11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1</v>
      </c>
    </row>
    <row r="2" ht="58" customHeight="1" spans="1:12">
      <c r="A2" s="2">
        <v>1</v>
      </c>
      <c r="B2" s="3" t="s">
        <v>789</v>
      </c>
      <c r="C2" s="3" t="s">
        <v>649</v>
      </c>
      <c r="D2" s="3" t="s">
        <v>790</v>
      </c>
      <c r="E2" s="3" t="s">
        <v>791</v>
      </c>
      <c r="F2" s="3" t="s">
        <v>215</v>
      </c>
      <c r="G2" s="3" t="s">
        <v>792</v>
      </c>
      <c r="H2" s="3" t="s">
        <v>33</v>
      </c>
      <c r="I2" s="3" t="s">
        <v>793</v>
      </c>
      <c r="J2" s="3" t="s">
        <v>121</v>
      </c>
      <c r="K2" s="3" t="s">
        <v>794</v>
      </c>
      <c r="L2" s="4">
        <v>46252</v>
      </c>
    </row>
    <row r="3" ht="58" customHeight="1" spans="1:12">
      <c r="A3" s="11">
        <v>2</v>
      </c>
      <c r="B3" s="12" t="s">
        <v>795</v>
      </c>
      <c r="C3" s="12" t="s">
        <v>796</v>
      </c>
      <c r="D3" s="12" t="s">
        <v>797</v>
      </c>
      <c r="E3" s="12" t="s">
        <v>798</v>
      </c>
      <c r="F3" s="12" t="s">
        <v>215</v>
      </c>
      <c r="G3" s="12" t="s">
        <v>799</v>
      </c>
      <c r="H3" s="12" t="s">
        <v>33</v>
      </c>
      <c r="I3" s="12" t="s">
        <v>793</v>
      </c>
      <c r="J3" s="12" t="s">
        <v>270</v>
      </c>
      <c r="K3" s="12" t="s">
        <v>794</v>
      </c>
      <c r="L3" s="13">
        <v>46252</v>
      </c>
    </row>
    <row r="4" ht="58" customHeight="1" spans="1:12">
      <c r="A4" s="5">
        <v>3</v>
      </c>
      <c r="B4" s="6" t="s">
        <v>800</v>
      </c>
      <c r="C4" s="6" t="s">
        <v>801</v>
      </c>
      <c r="D4" s="6" t="s">
        <v>802</v>
      </c>
      <c r="E4" s="6" t="s">
        <v>803</v>
      </c>
      <c r="F4" s="6" t="s">
        <v>215</v>
      </c>
      <c r="G4" s="6" t="s">
        <v>804</v>
      </c>
      <c r="H4" s="6" t="s">
        <v>33</v>
      </c>
      <c r="I4" s="6" t="s">
        <v>793</v>
      </c>
      <c r="J4" s="6" t="s">
        <v>270</v>
      </c>
      <c r="K4" s="6" t="s">
        <v>794</v>
      </c>
      <c r="L4" s="7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showGridLines="0" workbookViewId="0">
      <selection activeCell="A1" sqref="A1"/>
    </sheetView>
  </sheetViews>
  <sheetFormatPr defaultColWidth="9" defaultRowHeight="14.5" outlineLevelRow="4"/>
  <cols>
    <col min="1" max="1" width="7" customWidth="1"/>
    <col min="2" max="2" width="30" customWidth="1"/>
    <col min="3" max="3" width="18" customWidth="1"/>
    <col min="4" max="4" width="48" customWidth="1"/>
    <col min="5" max="5" width="34" customWidth="1"/>
    <col min="6" max="6" width="40" customWidth="1"/>
    <col min="7" max="7" width="50" customWidth="1"/>
    <col min="8" max="8" width="13" customWidth="1"/>
    <col min="9" max="9" width="14" customWidth="1"/>
    <col min="10" max="10" width="16" customWidth="1"/>
    <col min="11" max="11" width="60" customWidth="1"/>
    <col min="12" max="12" width="13" customWidth="1"/>
  </cols>
  <sheetData>
    <row r="1" ht="30" customHeight="1" spans="1:1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11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1</v>
      </c>
    </row>
    <row r="2" ht="58" customHeight="1" spans="1:12">
      <c r="A2" s="2">
        <v>1</v>
      </c>
      <c r="B2" s="3" t="s">
        <v>805</v>
      </c>
      <c r="C2" s="3" t="s">
        <v>806</v>
      </c>
      <c r="D2" s="3" t="s">
        <v>807</v>
      </c>
      <c r="E2" s="3" t="s">
        <v>808</v>
      </c>
      <c r="F2" s="3" t="s">
        <v>77</v>
      </c>
      <c r="G2" s="3" t="s">
        <v>809</v>
      </c>
      <c r="H2" s="3" t="s">
        <v>34</v>
      </c>
      <c r="I2" s="3" t="s">
        <v>810</v>
      </c>
      <c r="J2" s="3" t="s">
        <v>370</v>
      </c>
      <c r="K2" s="3" t="s">
        <v>80</v>
      </c>
      <c r="L2" s="4">
        <v>46252</v>
      </c>
    </row>
    <row r="3" ht="58" customHeight="1" spans="1:12">
      <c r="A3" s="11">
        <v>2</v>
      </c>
      <c r="B3" s="12" t="s">
        <v>811</v>
      </c>
      <c r="C3" s="12" t="s">
        <v>582</v>
      </c>
      <c r="D3" s="12" t="s">
        <v>812</v>
      </c>
      <c r="E3" s="12" t="s">
        <v>813</v>
      </c>
      <c r="F3" s="12" t="s">
        <v>814</v>
      </c>
      <c r="G3" s="12" t="s">
        <v>815</v>
      </c>
      <c r="H3" s="12" t="s">
        <v>34</v>
      </c>
      <c r="I3" s="12" t="s">
        <v>816</v>
      </c>
      <c r="J3" s="12" t="s">
        <v>93</v>
      </c>
      <c r="K3" s="12" t="s">
        <v>817</v>
      </c>
      <c r="L3" s="13">
        <v>46252</v>
      </c>
    </row>
    <row r="4" ht="58" customHeight="1" spans="1:12">
      <c r="A4" s="11">
        <v>3</v>
      </c>
      <c r="B4" s="12" t="s">
        <v>818</v>
      </c>
      <c r="C4" s="12" t="s">
        <v>96</v>
      </c>
      <c r="D4" s="12" t="s">
        <v>819</v>
      </c>
      <c r="E4" s="12" t="s">
        <v>820</v>
      </c>
      <c r="F4" s="12" t="s">
        <v>547</v>
      </c>
      <c r="G4" s="12" t="s">
        <v>821</v>
      </c>
      <c r="H4" s="12" t="s">
        <v>34</v>
      </c>
      <c r="I4" s="12" t="s">
        <v>822</v>
      </c>
      <c r="J4" s="12" t="s">
        <v>71</v>
      </c>
      <c r="K4" s="12" t="s">
        <v>72</v>
      </c>
      <c r="L4" s="13">
        <v>46252</v>
      </c>
    </row>
    <row r="5" ht="58" customHeight="1" spans="1:12">
      <c r="A5" s="5">
        <v>4</v>
      </c>
      <c r="B5" s="6" t="s">
        <v>823</v>
      </c>
      <c r="C5" s="6" t="s">
        <v>824</v>
      </c>
      <c r="D5" s="6" t="s">
        <v>825</v>
      </c>
      <c r="E5" s="6" t="s">
        <v>826</v>
      </c>
      <c r="F5" s="6" t="s">
        <v>827</v>
      </c>
      <c r="G5" s="6" t="s">
        <v>828</v>
      </c>
      <c r="H5" s="6" t="s">
        <v>34</v>
      </c>
      <c r="I5" s="6" t="s">
        <v>822</v>
      </c>
      <c r="J5" s="6" t="s">
        <v>71</v>
      </c>
      <c r="K5" s="6" t="s">
        <v>72</v>
      </c>
      <c r="L5" s="7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showGridLines="0" workbookViewId="0">
      <selection activeCell="A1" sqref="A1"/>
    </sheetView>
  </sheetViews>
  <sheetFormatPr defaultColWidth="9" defaultRowHeight="14.5" outlineLevelRow="2"/>
  <cols>
    <col min="1" max="1" width="7" customWidth="1"/>
    <col min="2" max="2" width="30" customWidth="1"/>
    <col min="3" max="3" width="18" customWidth="1"/>
    <col min="4" max="4" width="48" customWidth="1"/>
    <col min="5" max="5" width="34" customWidth="1"/>
    <col min="6" max="6" width="40" customWidth="1"/>
    <col min="7" max="7" width="50" customWidth="1"/>
    <col min="8" max="8" width="13" customWidth="1"/>
    <col min="9" max="9" width="14" customWidth="1"/>
    <col min="10" max="10" width="16" customWidth="1"/>
    <col min="11" max="11" width="60" customWidth="1"/>
    <col min="12" max="12" width="13" customWidth="1"/>
  </cols>
  <sheetData>
    <row r="1" ht="30" customHeight="1" spans="1:1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11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1</v>
      </c>
    </row>
    <row r="2" ht="58" customHeight="1" spans="1:12">
      <c r="A2" s="2">
        <v>1</v>
      </c>
      <c r="B2" s="3" t="s">
        <v>829</v>
      </c>
      <c r="C2" s="3" t="s">
        <v>830</v>
      </c>
      <c r="D2" s="3" t="s">
        <v>831</v>
      </c>
      <c r="E2" s="3" t="s">
        <v>832</v>
      </c>
      <c r="F2" s="3" t="s">
        <v>547</v>
      </c>
      <c r="G2" s="3" t="s">
        <v>833</v>
      </c>
      <c r="H2" s="3" t="s">
        <v>35</v>
      </c>
      <c r="I2" s="3" t="s">
        <v>834</v>
      </c>
      <c r="J2" s="3" t="s">
        <v>202</v>
      </c>
      <c r="K2" s="3" t="s">
        <v>835</v>
      </c>
      <c r="L2" s="4">
        <v>46252</v>
      </c>
    </row>
    <row r="3" ht="58" customHeight="1" spans="1:12">
      <c r="A3" s="5">
        <v>2</v>
      </c>
      <c r="B3" s="6" t="s">
        <v>836</v>
      </c>
      <c r="C3" s="6" t="s">
        <v>582</v>
      </c>
      <c r="D3" s="6" t="s">
        <v>837</v>
      </c>
      <c r="E3" s="6" t="s">
        <v>838</v>
      </c>
      <c r="F3" s="6" t="s">
        <v>541</v>
      </c>
      <c r="G3" s="6" t="s">
        <v>839</v>
      </c>
      <c r="H3" s="6" t="s">
        <v>35</v>
      </c>
      <c r="I3" s="6" t="s">
        <v>840</v>
      </c>
      <c r="J3" s="6" t="s">
        <v>93</v>
      </c>
      <c r="K3" s="6" t="s">
        <v>841</v>
      </c>
      <c r="L3" s="7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showGridLines="0" workbookViewId="0">
      <selection activeCell="A1" sqref="A1"/>
    </sheetView>
  </sheetViews>
  <sheetFormatPr defaultColWidth="9" defaultRowHeight="14.5" outlineLevelRow="6"/>
  <cols>
    <col min="1" max="1" width="7" customWidth="1"/>
    <col min="2" max="2" width="30" customWidth="1"/>
    <col min="3" max="3" width="18" customWidth="1"/>
    <col min="4" max="4" width="48" customWidth="1"/>
    <col min="5" max="5" width="34" customWidth="1"/>
    <col min="6" max="6" width="40" customWidth="1"/>
    <col min="7" max="7" width="50" customWidth="1"/>
    <col min="8" max="8" width="13" customWidth="1"/>
    <col min="9" max="9" width="14" customWidth="1"/>
    <col min="10" max="10" width="16" customWidth="1"/>
    <col min="11" max="11" width="60" customWidth="1"/>
    <col min="12" max="12" width="13" customWidth="1"/>
  </cols>
  <sheetData>
    <row r="1" ht="30" customHeight="1" spans="1:1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11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1</v>
      </c>
    </row>
    <row r="2" ht="58" customHeight="1" spans="1:12">
      <c r="A2" s="2">
        <v>1</v>
      </c>
      <c r="B2" s="3" t="s">
        <v>842</v>
      </c>
      <c r="C2" s="3" t="s">
        <v>702</v>
      </c>
      <c r="D2" s="3" t="s">
        <v>843</v>
      </c>
      <c r="E2" s="3" t="s">
        <v>844</v>
      </c>
      <c r="F2" s="3" t="s">
        <v>77</v>
      </c>
      <c r="G2" s="3" t="s">
        <v>845</v>
      </c>
      <c r="H2" s="3" t="s">
        <v>36</v>
      </c>
      <c r="I2" s="3" t="s">
        <v>846</v>
      </c>
      <c r="J2" s="3" t="s">
        <v>121</v>
      </c>
      <c r="K2" s="3" t="s">
        <v>847</v>
      </c>
      <c r="L2" s="4">
        <v>46252</v>
      </c>
    </row>
    <row r="3" ht="58" customHeight="1" spans="1:12">
      <c r="A3" s="11">
        <v>2</v>
      </c>
      <c r="B3" s="12" t="s">
        <v>848</v>
      </c>
      <c r="C3" s="12" t="s">
        <v>849</v>
      </c>
      <c r="D3" s="12" t="s">
        <v>850</v>
      </c>
      <c r="E3" s="12" t="s">
        <v>851</v>
      </c>
      <c r="F3" s="12" t="s">
        <v>215</v>
      </c>
      <c r="G3" s="12" t="s">
        <v>852</v>
      </c>
      <c r="H3" s="12" t="s">
        <v>36</v>
      </c>
      <c r="I3" s="12" t="s">
        <v>846</v>
      </c>
      <c r="J3" s="12" t="s">
        <v>202</v>
      </c>
      <c r="K3" s="12" t="s">
        <v>210</v>
      </c>
      <c r="L3" s="13">
        <v>46252</v>
      </c>
    </row>
    <row r="4" ht="58" customHeight="1" spans="1:12">
      <c r="A4" s="11">
        <v>3</v>
      </c>
      <c r="B4" s="12" t="s">
        <v>853</v>
      </c>
      <c r="C4" s="12" t="s">
        <v>854</v>
      </c>
      <c r="D4" s="12" t="s">
        <v>855</v>
      </c>
      <c r="E4" s="12" t="s">
        <v>564</v>
      </c>
      <c r="F4" s="12" t="s">
        <v>215</v>
      </c>
      <c r="G4" s="12" t="s">
        <v>856</v>
      </c>
      <c r="H4" s="12" t="s">
        <v>36</v>
      </c>
      <c r="I4" s="12" t="s">
        <v>846</v>
      </c>
      <c r="J4" s="12" t="s">
        <v>93</v>
      </c>
      <c r="K4" s="12" t="s">
        <v>857</v>
      </c>
      <c r="L4" s="13">
        <v>46252</v>
      </c>
    </row>
    <row r="5" ht="58" customHeight="1" spans="1:12">
      <c r="A5" s="11">
        <v>4</v>
      </c>
      <c r="B5" s="12" t="s">
        <v>858</v>
      </c>
      <c r="C5" s="12" t="s">
        <v>679</v>
      </c>
      <c r="D5" s="12" t="s">
        <v>859</v>
      </c>
      <c r="E5" s="12" t="s">
        <v>860</v>
      </c>
      <c r="F5" s="12" t="s">
        <v>861</v>
      </c>
      <c r="G5" s="12" t="s">
        <v>862</v>
      </c>
      <c r="H5" s="12" t="s">
        <v>36</v>
      </c>
      <c r="I5" s="12" t="s">
        <v>846</v>
      </c>
      <c r="J5" s="12" t="s">
        <v>93</v>
      </c>
      <c r="K5" s="12" t="s">
        <v>863</v>
      </c>
      <c r="L5" s="13">
        <v>46252</v>
      </c>
    </row>
    <row r="6" ht="58" customHeight="1" spans="1:12">
      <c r="A6" s="11">
        <v>5</v>
      </c>
      <c r="B6" s="12" t="s">
        <v>864</v>
      </c>
      <c r="C6" s="12" t="s">
        <v>96</v>
      </c>
      <c r="D6" s="12" t="s">
        <v>865</v>
      </c>
      <c r="E6" s="12" t="s">
        <v>866</v>
      </c>
      <c r="F6" s="12" t="s">
        <v>215</v>
      </c>
      <c r="G6" s="12" t="s">
        <v>867</v>
      </c>
      <c r="H6" s="12" t="s">
        <v>36</v>
      </c>
      <c r="I6" s="12" t="s">
        <v>846</v>
      </c>
      <c r="J6" s="12" t="s">
        <v>93</v>
      </c>
      <c r="K6" s="12" t="s">
        <v>210</v>
      </c>
      <c r="L6" s="13">
        <v>46252</v>
      </c>
    </row>
    <row r="7" ht="58" customHeight="1" spans="1:12">
      <c r="A7" s="5">
        <v>6</v>
      </c>
      <c r="B7" s="6" t="s">
        <v>868</v>
      </c>
      <c r="C7" s="6" t="s">
        <v>869</v>
      </c>
      <c r="D7" s="6" t="s">
        <v>870</v>
      </c>
      <c r="E7" s="6" t="s">
        <v>871</v>
      </c>
      <c r="F7" s="6" t="s">
        <v>872</v>
      </c>
      <c r="G7" s="6" t="s">
        <v>873</v>
      </c>
      <c r="H7" s="6" t="s">
        <v>36</v>
      </c>
      <c r="I7" s="6" t="s">
        <v>846</v>
      </c>
      <c r="J7" s="6" t="s">
        <v>93</v>
      </c>
      <c r="K7" s="6" t="s">
        <v>874</v>
      </c>
      <c r="L7" s="7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showGridLines="0" workbookViewId="0">
      <selection activeCell="A1" sqref="A1"/>
    </sheetView>
  </sheetViews>
  <sheetFormatPr defaultColWidth="9" defaultRowHeight="14.5" outlineLevelRow="1"/>
  <cols>
    <col min="1" max="1" width="7" customWidth="1"/>
    <col min="2" max="2" width="30" customWidth="1"/>
    <col min="3" max="3" width="18" customWidth="1"/>
    <col min="4" max="4" width="48" customWidth="1"/>
    <col min="5" max="5" width="34" customWidth="1"/>
    <col min="6" max="6" width="40" customWidth="1"/>
    <col min="7" max="7" width="50" customWidth="1"/>
    <col min="8" max="8" width="13" customWidth="1"/>
    <col min="9" max="9" width="14" customWidth="1"/>
    <col min="10" max="10" width="16" customWidth="1"/>
    <col min="11" max="11" width="60" customWidth="1"/>
    <col min="12" max="12" width="13" customWidth="1"/>
  </cols>
  <sheetData>
    <row r="1" ht="30" customHeight="1" spans="1:1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11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1</v>
      </c>
    </row>
    <row r="2" ht="58" customHeight="1" spans="1:12">
      <c r="A2" s="8">
        <v>1</v>
      </c>
      <c r="B2" s="9" t="s">
        <v>875</v>
      </c>
      <c r="C2" s="9" t="s">
        <v>876</v>
      </c>
      <c r="D2" s="9" t="s">
        <v>877</v>
      </c>
      <c r="E2" s="9" t="s">
        <v>878</v>
      </c>
      <c r="F2" s="9" t="s">
        <v>879</v>
      </c>
      <c r="G2" s="9" t="s">
        <v>880</v>
      </c>
      <c r="H2" s="9" t="s">
        <v>37</v>
      </c>
      <c r="I2" s="9" t="s">
        <v>881</v>
      </c>
      <c r="J2" s="9" t="s">
        <v>71</v>
      </c>
      <c r="K2" s="9" t="s">
        <v>72</v>
      </c>
      <c r="L2" s="10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showGridLines="0" workbookViewId="0">
      <selection activeCell="A1" sqref="A1"/>
    </sheetView>
  </sheetViews>
  <sheetFormatPr defaultColWidth="9" defaultRowHeight="14.5"/>
  <cols>
    <col min="1" max="1" width="7" customWidth="1"/>
    <col min="2" max="2" width="30" customWidth="1"/>
    <col min="3" max="3" width="18" customWidth="1"/>
    <col min="4" max="4" width="48" customWidth="1"/>
    <col min="5" max="5" width="34" customWidth="1"/>
    <col min="6" max="6" width="40" customWidth="1"/>
    <col min="7" max="7" width="50" customWidth="1"/>
    <col min="8" max="8" width="13" customWidth="1"/>
    <col min="9" max="9" width="14" customWidth="1"/>
    <col min="10" max="10" width="16" customWidth="1"/>
    <col min="11" max="11" width="60" customWidth="1"/>
    <col min="12" max="12" width="13" customWidth="1"/>
  </cols>
  <sheetData>
    <row r="1" ht="30" customHeight="1" spans="1:1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11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1</v>
      </c>
    </row>
    <row r="2" ht="58" customHeight="1" spans="1:12">
      <c r="A2" s="2">
        <v>1</v>
      </c>
      <c r="B2" s="3" t="s">
        <v>882</v>
      </c>
      <c r="C2" s="3" t="s">
        <v>883</v>
      </c>
      <c r="D2" s="3" t="s">
        <v>884</v>
      </c>
      <c r="E2" s="3" t="s">
        <v>885</v>
      </c>
      <c r="F2" s="3" t="s">
        <v>215</v>
      </c>
      <c r="G2" s="3" t="s">
        <v>886</v>
      </c>
      <c r="H2" s="3" t="s">
        <v>38</v>
      </c>
      <c r="I2" s="3" t="s">
        <v>887</v>
      </c>
      <c r="J2" s="3" t="s">
        <v>503</v>
      </c>
      <c r="K2" s="3" t="s">
        <v>888</v>
      </c>
      <c r="L2" s="4">
        <v>46252</v>
      </c>
    </row>
    <row r="3" ht="58" customHeight="1" spans="1:12">
      <c r="A3" s="11">
        <v>2</v>
      </c>
      <c r="B3" s="12" t="s">
        <v>889</v>
      </c>
      <c r="C3" s="12" t="s">
        <v>96</v>
      </c>
      <c r="D3" s="12" t="s">
        <v>890</v>
      </c>
      <c r="E3" s="12" t="s">
        <v>891</v>
      </c>
      <c r="F3" s="12" t="s">
        <v>892</v>
      </c>
      <c r="G3" s="12" t="s">
        <v>893</v>
      </c>
      <c r="H3" s="12" t="s">
        <v>38</v>
      </c>
      <c r="I3" s="12" t="s">
        <v>894</v>
      </c>
      <c r="J3" s="12" t="s">
        <v>93</v>
      </c>
      <c r="K3" s="12" t="s">
        <v>72</v>
      </c>
      <c r="L3" s="13">
        <v>46252</v>
      </c>
    </row>
    <row r="4" ht="58" customHeight="1" spans="1:12">
      <c r="A4" s="11">
        <v>3</v>
      </c>
      <c r="B4" s="12" t="s">
        <v>895</v>
      </c>
      <c r="C4" s="12" t="s">
        <v>896</v>
      </c>
      <c r="D4" s="12" t="s">
        <v>897</v>
      </c>
      <c r="E4" s="12" t="s">
        <v>898</v>
      </c>
      <c r="F4" s="12" t="s">
        <v>899</v>
      </c>
      <c r="G4" s="12" t="s">
        <v>900</v>
      </c>
      <c r="H4" s="12" t="s">
        <v>38</v>
      </c>
      <c r="I4" s="12" t="s">
        <v>894</v>
      </c>
      <c r="J4" s="12" t="s">
        <v>503</v>
      </c>
      <c r="K4" s="12" t="s">
        <v>174</v>
      </c>
      <c r="L4" s="13">
        <v>46252</v>
      </c>
    </row>
    <row r="5" ht="58" customHeight="1" spans="1:12">
      <c r="A5" s="11">
        <v>4</v>
      </c>
      <c r="B5" s="12" t="s">
        <v>901</v>
      </c>
      <c r="C5" s="12" t="s">
        <v>103</v>
      </c>
      <c r="D5" s="12" t="s">
        <v>902</v>
      </c>
      <c r="E5" s="12" t="s">
        <v>903</v>
      </c>
      <c r="F5" s="12" t="s">
        <v>904</v>
      </c>
      <c r="G5" s="12" t="s">
        <v>905</v>
      </c>
      <c r="H5" s="12" t="s">
        <v>38</v>
      </c>
      <c r="I5" s="12" t="s">
        <v>894</v>
      </c>
      <c r="J5" s="12" t="s">
        <v>93</v>
      </c>
      <c r="K5" s="12" t="s">
        <v>94</v>
      </c>
      <c r="L5" s="13">
        <v>46252</v>
      </c>
    </row>
    <row r="6" ht="58" customHeight="1" spans="1:12">
      <c r="A6" s="11">
        <v>5</v>
      </c>
      <c r="B6" s="12" t="s">
        <v>906</v>
      </c>
      <c r="C6" s="12" t="s">
        <v>96</v>
      </c>
      <c r="D6" s="12" t="s">
        <v>907</v>
      </c>
      <c r="E6" s="12" t="s">
        <v>908</v>
      </c>
      <c r="F6" s="12" t="s">
        <v>827</v>
      </c>
      <c r="G6" s="12" t="s">
        <v>909</v>
      </c>
      <c r="H6" s="12" t="s">
        <v>38</v>
      </c>
      <c r="I6" s="12" t="s">
        <v>887</v>
      </c>
      <c r="J6" s="12" t="s">
        <v>71</v>
      </c>
      <c r="K6" s="12" t="s">
        <v>72</v>
      </c>
      <c r="L6" s="13">
        <v>46252</v>
      </c>
    </row>
    <row r="7" ht="58" customHeight="1" spans="1:12">
      <c r="A7" s="11">
        <v>6</v>
      </c>
      <c r="B7" s="12" t="s">
        <v>910</v>
      </c>
      <c r="C7" s="12" t="s">
        <v>911</v>
      </c>
      <c r="D7" s="12" t="s">
        <v>912</v>
      </c>
      <c r="E7" s="12" t="s">
        <v>913</v>
      </c>
      <c r="F7" s="12" t="s">
        <v>914</v>
      </c>
      <c r="G7" s="12" t="s">
        <v>915</v>
      </c>
      <c r="H7" s="12" t="s">
        <v>38</v>
      </c>
      <c r="I7" s="12" t="s">
        <v>916</v>
      </c>
      <c r="J7" s="12" t="s">
        <v>917</v>
      </c>
      <c r="K7" s="12" t="s">
        <v>918</v>
      </c>
      <c r="L7" s="13">
        <v>46252</v>
      </c>
    </row>
    <row r="8" ht="58" customHeight="1" spans="1:12">
      <c r="A8" s="11">
        <v>7</v>
      </c>
      <c r="B8" s="12" t="s">
        <v>919</v>
      </c>
      <c r="C8" s="12" t="s">
        <v>96</v>
      </c>
      <c r="D8" s="12" t="s">
        <v>920</v>
      </c>
      <c r="E8" s="12" t="s">
        <v>921</v>
      </c>
      <c r="F8" s="12" t="s">
        <v>827</v>
      </c>
      <c r="G8" s="12" t="s">
        <v>922</v>
      </c>
      <c r="H8" s="12" t="s">
        <v>38</v>
      </c>
      <c r="I8" s="12" t="s">
        <v>887</v>
      </c>
      <c r="J8" s="12" t="s">
        <v>71</v>
      </c>
      <c r="K8" s="12" t="s">
        <v>72</v>
      </c>
      <c r="L8" s="13">
        <v>46252</v>
      </c>
    </row>
    <row r="9" ht="58" customHeight="1" spans="1:12">
      <c r="A9" s="11">
        <v>8</v>
      </c>
      <c r="B9" s="12" t="s">
        <v>923</v>
      </c>
      <c r="C9" s="12" t="s">
        <v>924</v>
      </c>
      <c r="D9" s="12" t="s">
        <v>925</v>
      </c>
      <c r="E9" s="12" t="s">
        <v>926</v>
      </c>
      <c r="F9" s="12" t="s">
        <v>77</v>
      </c>
      <c r="G9" s="12" t="s">
        <v>927</v>
      </c>
      <c r="H9" s="12" t="s">
        <v>38</v>
      </c>
      <c r="I9" s="12" t="s">
        <v>916</v>
      </c>
      <c r="J9" s="12" t="s">
        <v>363</v>
      </c>
      <c r="K9" s="12" t="s">
        <v>80</v>
      </c>
      <c r="L9" s="13">
        <v>46252</v>
      </c>
    </row>
    <row r="10" ht="58" customHeight="1" spans="1:12">
      <c r="A10" s="11">
        <v>9</v>
      </c>
      <c r="B10" s="12" t="s">
        <v>928</v>
      </c>
      <c r="C10" s="12" t="s">
        <v>929</v>
      </c>
      <c r="D10" s="12" t="s">
        <v>930</v>
      </c>
      <c r="E10" s="12" t="s">
        <v>931</v>
      </c>
      <c r="F10" s="12" t="s">
        <v>77</v>
      </c>
      <c r="G10" s="12" t="s">
        <v>932</v>
      </c>
      <c r="H10" s="12" t="s">
        <v>38</v>
      </c>
      <c r="I10" s="12" t="s">
        <v>916</v>
      </c>
      <c r="J10" s="12" t="s">
        <v>933</v>
      </c>
      <c r="K10" s="12" t="s">
        <v>80</v>
      </c>
      <c r="L10" s="13">
        <v>46252</v>
      </c>
    </row>
    <row r="11" ht="58" customHeight="1" spans="1:12">
      <c r="A11" s="11">
        <v>10</v>
      </c>
      <c r="B11" s="12" t="s">
        <v>934</v>
      </c>
      <c r="C11" s="12" t="s">
        <v>679</v>
      </c>
      <c r="D11" s="12" t="s">
        <v>935</v>
      </c>
      <c r="E11" s="12" t="s">
        <v>936</v>
      </c>
      <c r="F11" s="12" t="s">
        <v>215</v>
      </c>
      <c r="G11" s="12" t="s">
        <v>937</v>
      </c>
      <c r="H11" s="12" t="s">
        <v>38</v>
      </c>
      <c r="I11" s="12" t="s">
        <v>916</v>
      </c>
      <c r="J11" s="12" t="s">
        <v>270</v>
      </c>
      <c r="K11" s="12" t="s">
        <v>938</v>
      </c>
      <c r="L11" s="13">
        <v>46252</v>
      </c>
    </row>
    <row r="12" ht="58" customHeight="1" spans="1:12">
      <c r="A12" s="11">
        <v>11</v>
      </c>
      <c r="B12" s="12" t="s">
        <v>939</v>
      </c>
      <c r="C12" s="12" t="s">
        <v>96</v>
      </c>
      <c r="D12" s="12" t="s">
        <v>940</v>
      </c>
      <c r="E12" s="12" t="s">
        <v>516</v>
      </c>
      <c r="F12" s="12" t="s">
        <v>941</v>
      </c>
      <c r="G12" s="12" t="s">
        <v>942</v>
      </c>
      <c r="H12" s="12" t="s">
        <v>38</v>
      </c>
      <c r="I12" s="12" t="s">
        <v>916</v>
      </c>
      <c r="J12" s="12" t="s">
        <v>93</v>
      </c>
      <c r="K12" s="12" t="s">
        <v>94</v>
      </c>
      <c r="L12" s="13">
        <v>46252</v>
      </c>
    </row>
    <row r="13" ht="58" customHeight="1" spans="1:12">
      <c r="A13" s="11">
        <v>12</v>
      </c>
      <c r="B13" s="12" t="s">
        <v>943</v>
      </c>
      <c r="C13" s="12" t="s">
        <v>944</v>
      </c>
      <c r="D13" s="12" t="s">
        <v>945</v>
      </c>
      <c r="E13" s="12" t="s">
        <v>946</v>
      </c>
      <c r="F13" s="12" t="s">
        <v>947</v>
      </c>
      <c r="G13" s="12" t="s">
        <v>948</v>
      </c>
      <c r="H13" s="12" t="s">
        <v>38</v>
      </c>
      <c r="I13" s="12" t="s">
        <v>916</v>
      </c>
      <c r="J13" s="12" t="s">
        <v>202</v>
      </c>
      <c r="K13" s="12" t="s">
        <v>94</v>
      </c>
      <c r="L13" s="13">
        <v>46252</v>
      </c>
    </row>
    <row r="14" ht="58" customHeight="1" spans="1:12">
      <c r="A14" s="11">
        <v>13</v>
      </c>
      <c r="B14" s="12" t="s">
        <v>949</v>
      </c>
      <c r="C14" s="12" t="s">
        <v>582</v>
      </c>
      <c r="D14" s="12" t="s">
        <v>950</v>
      </c>
      <c r="E14" s="12" t="s">
        <v>951</v>
      </c>
      <c r="F14" s="12" t="s">
        <v>77</v>
      </c>
      <c r="G14" s="12" t="s">
        <v>952</v>
      </c>
      <c r="H14" s="12" t="s">
        <v>38</v>
      </c>
      <c r="I14" s="12" t="s">
        <v>916</v>
      </c>
      <c r="J14" s="12" t="s">
        <v>93</v>
      </c>
      <c r="K14" s="12" t="s">
        <v>765</v>
      </c>
      <c r="L14" s="13">
        <v>46252</v>
      </c>
    </row>
    <row r="15" ht="58" customHeight="1" spans="1:12">
      <c r="A15" s="11">
        <v>14</v>
      </c>
      <c r="B15" s="12" t="s">
        <v>953</v>
      </c>
      <c r="C15" s="12" t="s">
        <v>954</v>
      </c>
      <c r="D15" s="12" t="s">
        <v>955</v>
      </c>
      <c r="E15" s="12" t="s">
        <v>956</v>
      </c>
      <c r="F15" s="12" t="s">
        <v>77</v>
      </c>
      <c r="G15" s="12" t="s">
        <v>957</v>
      </c>
      <c r="H15" s="12" t="s">
        <v>38</v>
      </c>
      <c r="I15" s="12" t="s">
        <v>916</v>
      </c>
      <c r="J15" s="12" t="s">
        <v>202</v>
      </c>
      <c r="K15" s="12" t="s">
        <v>958</v>
      </c>
      <c r="L15" s="13">
        <v>46252</v>
      </c>
    </row>
    <row r="16" ht="58" customHeight="1" spans="1:12">
      <c r="A16" s="11">
        <v>15</v>
      </c>
      <c r="B16" s="12" t="s">
        <v>959</v>
      </c>
      <c r="C16" s="12" t="s">
        <v>960</v>
      </c>
      <c r="D16" s="12" t="s">
        <v>961</v>
      </c>
      <c r="E16" s="12" t="s">
        <v>962</v>
      </c>
      <c r="F16" s="12" t="s">
        <v>963</v>
      </c>
      <c r="G16" s="12" t="s">
        <v>964</v>
      </c>
      <c r="H16" s="12" t="s">
        <v>38</v>
      </c>
      <c r="I16" s="12" t="s">
        <v>916</v>
      </c>
      <c r="J16" s="12" t="s">
        <v>503</v>
      </c>
      <c r="K16" s="12" t="s">
        <v>965</v>
      </c>
      <c r="L16" s="13">
        <v>46252</v>
      </c>
    </row>
    <row r="17" ht="58" customHeight="1" spans="1:12">
      <c r="A17" s="11">
        <v>16</v>
      </c>
      <c r="B17" s="12" t="s">
        <v>966</v>
      </c>
      <c r="C17" s="12" t="s">
        <v>149</v>
      </c>
      <c r="D17" s="12" t="s">
        <v>967</v>
      </c>
      <c r="E17" s="12" t="s">
        <v>227</v>
      </c>
      <c r="F17" s="12" t="s">
        <v>968</v>
      </c>
      <c r="G17" s="12" t="s">
        <v>969</v>
      </c>
      <c r="H17" s="12" t="s">
        <v>38</v>
      </c>
      <c r="I17" s="12" t="s">
        <v>916</v>
      </c>
      <c r="J17" s="12" t="s">
        <v>93</v>
      </c>
      <c r="K17" s="12" t="s">
        <v>94</v>
      </c>
      <c r="L17" s="13">
        <v>46252</v>
      </c>
    </row>
    <row r="18" ht="58" customHeight="1" spans="1:12">
      <c r="A18" s="11">
        <v>17</v>
      </c>
      <c r="B18" s="12" t="s">
        <v>970</v>
      </c>
      <c r="C18" s="12" t="s">
        <v>971</v>
      </c>
      <c r="D18" s="12" t="s">
        <v>972</v>
      </c>
      <c r="E18" s="12" t="s">
        <v>973</v>
      </c>
      <c r="F18" s="12" t="s">
        <v>974</v>
      </c>
      <c r="G18" s="12" t="s">
        <v>975</v>
      </c>
      <c r="H18" s="12" t="s">
        <v>38</v>
      </c>
      <c r="I18" s="12" t="s">
        <v>916</v>
      </c>
      <c r="J18" s="12" t="s">
        <v>976</v>
      </c>
      <c r="K18" s="12" t="s">
        <v>977</v>
      </c>
      <c r="L18" s="13">
        <v>46252</v>
      </c>
    </row>
    <row r="19" ht="58" customHeight="1" spans="1:12">
      <c r="A19" s="11">
        <v>18</v>
      </c>
      <c r="B19" s="12" t="s">
        <v>978</v>
      </c>
      <c r="C19" s="12" t="s">
        <v>103</v>
      </c>
      <c r="D19" s="12" t="s">
        <v>979</v>
      </c>
      <c r="E19" s="12" t="s">
        <v>980</v>
      </c>
      <c r="F19" s="12" t="s">
        <v>981</v>
      </c>
      <c r="G19" s="12" t="s">
        <v>982</v>
      </c>
      <c r="H19" s="12" t="s">
        <v>38</v>
      </c>
      <c r="I19" s="12" t="s">
        <v>916</v>
      </c>
      <c r="J19" s="12" t="s">
        <v>93</v>
      </c>
      <c r="K19" s="12" t="s">
        <v>983</v>
      </c>
      <c r="L19" s="13">
        <v>46252</v>
      </c>
    </row>
    <row r="20" ht="58" customHeight="1" spans="1:12">
      <c r="A20" s="11">
        <v>19</v>
      </c>
      <c r="B20" s="12" t="s">
        <v>984</v>
      </c>
      <c r="C20" s="12" t="s">
        <v>323</v>
      </c>
      <c r="D20" s="12" t="s">
        <v>985</v>
      </c>
      <c r="E20" s="12" t="s">
        <v>227</v>
      </c>
      <c r="F20" s="12" t="s">
        <v>986</v>
      </c>
      <c r="G20" s="12" t="s">
        <v>987</v>
      </c>
      <c r="H20" s="12" t="s">
        <v>38</v>
      </c>
      <c r="I20" s="12" t="s">
        <v>916</v>
      </c>
      <c r="J20" s="12" t="s">
        <v>93</v>
      </c>
      <c r="K20" s="12" t="s">
        <v>988</v>
      </c>
      <c r="L20" s="13">
        <v>46252</v>
      </c>
    </row>
    <row r="21" ht="58" customHeight="1" spans="1:12">
      <c r="A21" s="5">
        <v>20</v>
      </c>
      <c r="B21" s="6" t="s">
        <v>989</v>
      </c>
      <c r="C21" s="6" t="s">
        <v>990</v>
      </c>
      <c r="D21" s="6" t="s">
        <v>991</v>
      </c>
      <c r="E21" s="6" t="s">
        <v>535</v>
      </c>
      <c r="F21" s="6" t="s">
        <v>992</v>
      </c>
      <c r="G21" s="6" t="s">
        <v>993</v>
      </c>
      <c r="H21" s="6" t="s">
        <v>38</v>
      </c>
      <c r="I21" s="6" t="s">
        <v>916</v>
      </c>
      <c r="J21" s="6" t="s">
        <v>93</v>
      </c>
      <c r="K21" s="6" t="s">
        <v>94</v>
      </c>
      <c r="L21" s="7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showGridLines="0" workbookViewId="0">
      <selection activeCell="A1" sqref="A1"/>
    </sheetView>
  </sheetViews>
  <sheetFormatPr defaultColWidth="9" defaultRowHeight="14.5" outlineLevelRow="1"/>
  <cols>
    <col min="1" max="1" width="7" customWidth="1"/>
    <col min="2" max="2" width="30" customWidth="1"/>
    <col min="3" max="3" width="18" customWidth="1"/>
    <col min="4" max="4" width="48" customWidth="1"/>
    <col min="5" max="5" width="34" customWidth="1"/>
    <col min="6" max="6" width="40" customWidth="1"/>
    <col min="7" max="7" width="50" customWidth="1"/>
    <col min="8" max="8" width="13" customWidth="1"/>
    <col min="9" max="9" width="14" customWidth="1"/>
    <col min="10" max="10" width="16" customWidth="1"/>
    <col min="11" max="11" width="60" customWidth="1"/>
    <col min="12" max="12" width="13" customWidth="1"/>
  </cols>
  <sheetData>
    <row r="1" ht="30" customHeight="1" spans="1:1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11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1</v>
      </c>
    </row>
    <row r="2" ht="58" customHeight="1" spans="1:12">
      <c r="A2" s="8">
        <v>1</v>
      </c>
      <c r="B2" s="9" t="s">
        <v>994</v>
      </c>
      <c r="C2" s="9" t="s">
        <v>238</v>
      </c>
      <c r="D2" s="9" t="s">
        <v>995</v>
      </c>
      <c r="E2" s="9" t="s">
        <v>996</v>
      </c>
      <c r="F2" s="9" t="s">
        <v>997</v>
      </c>
      <c r="G2" s="9" t="s">
        <v>998</v>
      </c>
      <c r="H2" s="9" t="s">
        <v>40</v>
      </c>
      <c r="I2" s="9" t="s">
        <v>999</v>
      </c>
      <c r="J2" s="9" t="s">
        <v>202</v>
      </c>
      <c r="K2" s="9" t="s">
        <v>1000</v>
      </c>
      <c r="L2" s="10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showGridLines="0" workbookViewId="0">
      <selection activeCell="A1" sqref="A1"/>
    </sheetView>
  </sheetViews>
  <sheetFormatPr defaultColWidth="9" defaultRowHeight="14.5" outlineLevelRow="2"/>
  <cols>
    <col min="1" max="1" width="7" customWidth="1"/>
    <col min="2" max="2" width="30" customWidth="1"/>
    <col min="3" max="3" width="18" customWidth="1"/>
    <col min="4" max="4" width="48" customWidth="1"/>
    <col min="5" max="5" width="34" customWidth="1"/>
    <col min="6" max="6" width="40" customWidth="1"/>
    <col min="7" max="7" width="50" customWidth="1"/>
    <col min="8" max="8" width="13" customWidth="1"/>
    <col min="9" max="9" width="14" customWidth="1"/>
    <col min="10" max="10" width="16" customWidth="1"/>
    <col min="11" max="11" width="60" customWidth="1"/>
    <col min="12" max="12" width="13" customWidth="1"/>
  </cols>
  <sheetData>
    <row r="1" ht="30" customHeight="1" spans="1:1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11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1</v>
      </c>
    </row>
    <row r="2" ht="58" customHeight="1" spans="1:12">
      <c r="A2" s="2">
        <v>1</v>
      </c>
      <c r="B2" s="3" t="s">
        <v>1001</v>
      </c>
      <c r="C2" s="3" t="s">
        <v>65</v>
      </c>
      <c r="D2" s="3" t="s">
        <v>1002</v>
      </c>
      <c r="E2" s="3" t="s">
        <v>1003</v>
      </c>
      <c r="F2" s="3" t="s">
        <v>77</v>
      </c>
      <c r="G2" s="3" t="s">
        <v>1004</v>
      </c>
      <c r="H2" s="3" t="s">
        <v>41</v>
      </c>
      <c r="I2" s="3" t="s">
        <v>1005</v>
      </c>
      <c r="J2" s="3" t="s">
        <v>93</v>
      </c>
      <c r="K2" s="3" t="s">
        <v>1006</v>
      </c>
      <c r="L2" s="4">
        <v>46252</v>
      </c>
    </row>
    <row r="3" ht="58" customHeight="1" spans="1:12">
      <c r="A3" s="5">
        <v>2</v>
      </c>
      <c r="B3" s="6" t="s">
        <v>1007</v>
      </c>
      <c r="C3" s="6" t="s">
        <v>628</v>
      </c>
      <c r="D3" s="6" t="s">
        <v>1008</v>
      </c>
      <c r="E3" s="6" t="s">
        <v>1009</v>
      </c>
      <c r="F3" s="6" t="s">
        <v>77</v>
      </c>
      <c r="G3" s="6" t="s">
        <v>1010</v>
      </c>
      <c r="H3" s="6" t="s">
        <v>41</v>
      </c>
      <c r="I3" s="6" t="s">
        <v>1005</v>
      </c>
      <c r="J3" s="6" t="s">
        <v>93</v>
      </c>
      <c r="K3" s="6" t="s">
        <v>1011</v>
      </c>
      <c r="L3" s="7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showGridLines="0" workbookViewId="0">
      <selection activeCell="A1" sqref="A1"/>
    </sheetView>
  </sheetViews>
  <sheetFormatPr defaultColWidth="9" defaultRowHeight="14.5"/>
  <cols>
    <col min="1" max="1" width="7" customWidth="1"/>
    <col min="2" max="2" width="30" customWidth="1"/>
    <col min="3" max="3" width="18" customWidth="1"/>
    <col min="4" max="4" width="48" customWidth="1"/>
    <col min="5" max="5" width="34" customWidth="1"/>
    <col min="6" max="6" width="40" customWidth="1"/>
    <col min="7" max="7" width="50" customWidth="1"/>
    <col min="8" max="8" width="13" customWidth="1"/>
    <col min="9" max="9" width="14" customWidth="1"/>
    <col min="10" max="10" width="16" customWidth="1"/>
    <col min="11" max="11" width="60" customWidth="1"/>
    <col min="12" max="12" width="13" customWidth="1"/>
  </cols>
  <sheetData>
    <row r="1" ht="30" customHeight="1" spans="1:1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11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1</v>
      </c>
    </row>
    <row r="2" ht="58" customHeight="1" spans="1:12">
      <c r="A2" s="2">
        <v>1</v>
      </c>
      <c r="B2" s="3" t="s">
        <v>1012</v>
      </c>
      <c r="C2" s="3" t="s">
        <v>1013</v>
      </c>
      <c r="D2" s="3" t="s">
        <v>1014</v>
      </c>
      <c r="E2" s="3" t="s">
        <v>1015</v>
      </c>
      <c r="F2" s="3" t="s">
        <v>77</v>
      </c>
      <c r="G2" s="3" t="s">
        <v>1016</v>
      </c>
      <c r="H2" s="3" t="s">
        <v>42</v>
      </c>
      <c r="I2" s="3" t="s">
        <v>1017</v>
      </c>
      <c r="J2" s="3" t="s">
        <v>236</v>
      </c>
      <c r="K2" s="3" t="s">
        <v>1018</v>
      </c>
      <c r="L2" s="4">
        <v>46252</v>
      </c>
    </row>
    <row r="3" ht="58" customHeight="1" spans="1:12">
      <c r="A3" s="11">
        <v>2</v>
      </c>
      <c r="B3" s="12" t="s">
        <v>1019</v>
      </c>
      <c r="C3" s="12" t="s">
        <v>773</v>
      </c>
      <c r="D3" s="12" t="s">
        <v>1020</v>
      </c>
      <c r="E3" s="12" t="s">
        <v>1021</v>
      </c>
      <c r="F3" s="12" t="s">
        <v>1022</v>
      </c>
      <c r="G3" s="12" t="s">
        <v>1023</v>
      </c>
      <c r="H3" s="12" t="s">
        <v>42</v>
      </c>
      <c r="I3" s="12" t="s">
        <v>1017</v>
      </c>
      <c r="J3" s="12" t="s">
        <v>93</v>
      </c>
      <c r="K3" s="12" t="s">
        <v>94</v>
      </c>
      <c r="L3" s="13">
        <v>46252</v>
      </c>
    </row>
    <row r="4" ht="58" customHeight="1" spans="1:12">
      <c r="A4" s="11">
        <v>3</v>
      </c>
      <c r="B4" s="12" t="s">
        <v>1024</v>
      </c>
      <c r="C4" s="12" t="s">
        <v>96</v>
      </c>
      <c r="D4" s="12" t="s">
        <v>1025</v>
      </c>
      <c r="E4" s="12" t="s">
        <v>1026</v>
      </c>
      <c r="F4" s="12" t="s">
        <v>1027</v>
      </c>
      <c r="G4" s="12" t="s">
        <v>1028</v>
      </c>
      <c r="H4" s="12" t="s">
        <v>42</v>
      </c>
      <c r="I4" s="12" t="s">
        <v>1017</v>
      </c>
      <c r="J4" s="12" t="s">
        <v>93</v>
      </c>
      <c r="K4" s="12" t="s">
        <v>1029</v>
      </c>
      <c r="L4" s="13">
        <v>46252</v>
      </c>
    </row>
    <row r="5" ht="58" customHeight="1" spans="1:12">
      <c r="A5" s="11">
        <v>4</v>
      </c>
      <c r="B5" s="12" t="s">
        <v>1030</v>
      </c>
      <c r="C5" s="12" t="s">
        <v>300</v>
      </c>
      <c r="D5" s="12" t="s">
        <v>1031</v>
      </c>
      <c r="E5" s="12" t="s">
        <v>1032</v>
      </c>
      <c r="F5" s="12" t="s">
        <v>1033</v>
      </c>
      <c r="G5" s="12" t="s">
        <v>1034</v>
      </c>
      <c r="H5" s="12" t="s">
        <v>42</v>
      </c>
      <c r="I5" s="12" t="s">
        <v>1017</v>
      </c>
      <c r="J5" s="12" t="s">
        <v>93</v>
      </c>
      <c r="K5" s="12" t="s">
        <v>1035</v>
      </c>
      <c r="L5" s="13">
        <v>46252</v>
      </c>
    </row>
    <row r="6" ht="58" customHeight="1" spans="1:12">
      <c r="A6" s="11">
        <v>5</v>
      </c>
      <c r="B6" s="12" t="s">
        <v>1036</v>
      </c>
      <c r="C6" s="12" t="s">
        <v>1037</v>
      </c>
      <c r="D6" s="12" t="s">
        <v>1038</v>
      </c>
      <c r="E6" s="12" t="s">
        <v>1039</v>
      </c>
      <c r="F6" s="12" t="s">
        <v>215</v>
      </c>
      <c r="G6" s="12" t="s">
        <v>1040</v>
      </c>
      <c r="H6" s="12" t="s">
        <v>42</v>
      </c>
      <c r="I6" s="12" t="s">
        <v>1017</v>
      </c>
      <c r="J6" s="12" t="s">
        <v>93</v>
      </c>
      <c r="K6" s="12" t="s">
        <v>1041</v>
      </c>
      <c r="L6" s="13">
        <v>46252</v>
      </c>
    </row>
    <row r="7" ht="58" customHeight="1" spans="1:12">
      <c r="A7" s="11">
        <v>6</v>
      </c>
      <c r="B7" s="12" t="s">
        <v>1042</v>
      </c>
      <c r="C7" s="12" t="s">
        <v>1043</v>
      </c>
      <c r="D7" s="12" t="s">
        <v>1044</v>
      </c>
      <c r="E7" s="12" t="s">
        <v>1045</v>
      </c>
      <c r="F7" s="12" t="s">
        <v>77</v>
      </c>
      <c r="G7" s="12" t="s">
        <v>1046</v>
      </c>
      <c r="H7" s="12" t="s">
        <v>42</v>
      </c>
      <c r="I7" s="12" t="s">
        <v>1017</v>
      </c>
      <c r="J7" s="12" t="s">
        <v>93</v>
      </c>
      <c r="K7" s="12" t="s">
        <v>1047</v>
      </c>
      <c r="L7" s="13">
        <v>46252</v>
      </c>
    </row>
    <row r="8" ht="58" customHeight="1" spans="1:12">
      <c r="A8" s="11">
        <v>7</v>
      </c>
      <c r="B8" s="12" t="s">
        <v>1048</v>
      </c>
      <c r="C8" s="12" t="s">
        <v>1049</v>
      </c>
      <c r="D8" s="12" t="s">
        <v>1050</v>
      </c>
      <c r="E8" s="12" t="s">
        <v>1051</v>
      </c>
      <c r="F8" s="12" t="s">
        <v>215</v>
      </c>
      <c r="G8" s="12" t="s">
        <v>1052</v>
      </c>
      <c r="H8" s="12" t="s">
        <v>42</v>
      </c>
      <c r="I8" s="12" t="s">
        <v>1017</v>
      </c>
      <c r="J8" s="12" t="s">
        <v>93</v>
      </c>
      <c r="K8" s="12" t="s">
        <v>1053</v>
      </c>
      <c r="L8" s="13">
        <v>46252</v>
      </c>
    </row>
    <row r="9" ht="58" customHeight="1" spans="1:12">
      <c r="A9" s="11">
        <v>8</v>
      </c>
      <c r="B9" s="12" t="s">
        <v>1054</v>
      </c>
      <c r="C9" s="12" t="s">
        <v>1055</v>
      </c>
      <c r="D9" s="12" t="s">
        <v>1056</v>
      </c>
      <c r="E9" s="12" t="s">
        <v>1057</v>
      </c>
      <c r="F9" s="12" t="s">
        <v>77</v>
      </c>
      <c r="G9" s="12" t="s">
        <v>1058</v>
      </c>
      <c r="H9" s="12" t="s">
        <v>42</v>
      </c>
      <c r="I9" s="12" t="s">
        <v>1017</v>
      </c>
      <c r="J9" s="12" t="s">
        <v>202</v>
      </c>
      <c r="K9" s="12" t="s">
        <v>1059</v>
      </c>
      <c r="L9" s="13">
        <v>46252</v>
      </c>
    </row>
    <row r="10" ht="58" customHeight="1" spans="1:12">
      <c r="A10" s="11">
        <v>9</v>
      </c>
      <c r="B10" s="12" t="s">
        <v>1060</v>
      </c>
      <c r="C10" s="12" t="s">
        <v>290</v>
      </c>
      <c r="D10" s="12" t="s">
        <v>1061</v>
      </c>
      <c r="E10" s="12" t="s">
        <v>1062</v>
      </c>
      <c r="F10" s="12" t="s">
        <v>1063</v>
      </c>
      <c r="G10" s="12" t="s">
        <v>1064</v>
      </c>
      <c r="H10" s="12" t="s">
        <v>42</v>
      </c>
      <c r="I10" s="12" t="s">
        <v>1017</v>
      </c>
      <c r="J10" s="12" t="s">
        <v>93</v>
      </c>
      <c r="K10" s="12" t="s">
        <v>1065</v>
      </c>
      <c r="L10" s="13">
        <v>46252</v>
      </c>
    </row>
    <row r="11" ht="58" customHeight="1" spans="1:12">
      <c r="A11" s="11">
        <v>10</v>
      </c>
      <c r="B11" s="12" t="s">
        <v>1066</v>
      </c>
      <c r="C11" s="12" t="s">
        <v>773</v>
      </c>
      <c r="D11" s="12" t="s">
        <v>1067</v>
      </c>
      <c r="E11" s="12" t="s">
        <v>453</v>
      </c>
      <c r="F11" s="12" t="s">
        <v>1068</v>
      </c>
      <c r="G11" s="12" t="s">
        <v>1069</v>
      </c>
      <c r="H11" s="12" t="s">
        <v>42</v>
      </c>
      <c r="I11" s="12" t="s">
        <v>1017</v>
      </c>
      <c r="J11" s="12" t="s">
        <v>93</v>
      </c>
      <c r="K11" s="12" t="s">
        <v>94</v>
      </c>
      <c r="L11" s="13">
        <v>46252</v>
      </c>
    </row>
    <row r="12" ht="58" customHeight="1" spans="1:12">
      <c r="A12" s="5">
        <v>11</v>
      </c>
      <c r="B12" s="6" t="s">
        <v>1070</v>
      </c>
      <c r="C12" s="6" t="s">
        <v>1071</v>
      </c>
      <c r="D12" s="6" t="s">
        <v>1072</v>
      </c>
      <c r="E12" s="6" t="s">
        <v>1073</v>
      </c>
      <c r="F12" s="6" t="s">
        <v>547</v>
      </c>
      <c r="G12" s="6" t="s">
        <v>1074</v>
      </c>
      <c r="H12" s="6" t="s">
        <v>42</v>
      </c>
      <c r="I12" s="6" t="s">
        <v>1017</v>
      </c>
      <c r="J12" s="6" t="s">
        <v>71</v>
      </c>
      <c r="K12" s="6" t="s">
        <v>72</v>
      </c>
      <c r="L12" s="7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showGridLines="0" workbookViewId="0">
      <selection activeCell="A1" sqref="A1"/>
    </sheetView>
  </sheetViews>
  <sheetFormatPr defaultColWidth="9" defaultRowHeight="14.5" outlineLevelRow="1"/>
  <cols>
    <col min="1" max="1" width="7" customWidth="1"/>
    <col min="2" max="2" width="30" customWidth="1"/>
    <col min="3" max="3" width="18" customWidth="1"/>
    <col min="4" max="4" width="48" customWidth="1"/>
    <col min="5" max="5" width="34" customWidth="1"/>
    <col min="6" max="6" width="40" customWidth="1"/>
    <col min="7" max="7" width="50" customWidth="1"/>
    <col min="8" max="8" width="13" customWidth="1"/>
    <col min="9" max="9" width="14" customWidth="1"/>
    <col min="10" max="10" width="16" customWidth="1"/>
    <col min="11" max="11" width="60" customWidth="1"/>
    <col min="12" max="12" width="13" customWidth="1"/>
  </cols>
  <sheetData>
    <row r="1" ht="30" customHeight="1" spans="1:1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11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1</v>
      </c>
    </row>
    <row r="2" ht="58" customHeight="1" spans="1:12">
      <c r="A2" s="8">
        <v>1</v>
      </c>
      <c r="B2" s="9" t="s">
        <v>1075</v>
      </c>
      <c r="C2" s="9" t="s">
        <v>1076</v>
      </c>
      <c r="D2" s="9" t="s">
        <v>1077</v>
      </c>
      <c r="E2" s="9" t="s">
        <v>1078</v>
      </c>
      <c r="F2" s="9" t="s">
        <v>215</v>
      </c>
      <c r="G2" s="9" t="s">
        <v>1079</v>
      </c>
      <c r="H2" s="9" t="s">
        <v>43</v>
      </c>
      <c r="I2" s="9" t="s">
        <v>1080</v>
      </c>
      <c r="J2" s="9" t="s">
        <v>262</v>
      </c>
      <c r="K2" s="9" t="s">
        <v>1081</v>
      </c>
      <c r="L2" s="10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showGridLines="0" workbookViewId="0">
      <selection activeCell="A1" sqref="A1"/>
    </sheetView>
  </sheetViews>
  <sheetFormatPr defaultColWidth="9" defaultRowHeight="14.5" outlineLevelRow="1"/>
  <cols>
    <col min="1" max="1" width="7" customWidth="1"/>
    <col min="2" max="2" width="30" customWidth="1"/>
    <col min="3" max="3" width="18" customWidth="1"/>
    <col min="4" max="4" width="48" customWidth="1"/>
    <col min="5" max="5" width="34" customWidth="1"/>
    <col min="6" max="6" width="40" customWidth="1"/>
    <col min="7" max="7" width="50" customWidth="1"/>
    <col min="8" max="8" width="13" customWidth="1"/>
    <col min="9" max="9" width="14" customWidth="1"/>
    <col min="10" max="10" width="16" customWidth="1"/>
    <col min="11" max="11" width="60" customWidth="1"/>
    <col min="12" max="12" width="13" customWidth="1"/>
  </cols>
  <sheetData>
    <row r="1" ht="30" customHeight="1" spans="1:1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11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1</v>
      </c>
    </row>
    <row r="2" ht="58" customHeight="1" spans="1:12">
      <c r="A2" s="8">
        <v>1</v>
      </c>
      <c r="B2" s="9" t="s">
        <v>1082</v>
      </c>
      <c r="C2" s="9" t="s">
        <v>1083</v>
      </c>
      <c r="D2" s="9" t="s">
        <v>1084</v>
      </c>
      <c r="E2" s="9" t="s">
        <v>1085</v>
      </c>
      <c r="F2" s="9" t="s">
        <v>215</v>
      </c>
      <c r="G2" s="9" t="s">
        <v>1086</v>
      </c>
      <c r="H2" s="9" t="s">
        <v>44</v>
      </c>
      <c r="I2" s="9" t="s">
        <v>1087</v>
      </c>
      <c r="J2" s="9" t="s">
        <v>262</v>
      </c>
      <c r="K2" s="9" t="s">
        <v>1088</v>
      </c>
      <c r="L2" s="10">
        <v>46252</v>
      </c>
    </row>
  </sheetData>
  <pageMargins left="0.7" right="0.7" top="0.75" bottom="0.75" header="0.3" footer="0.3"/>
  <headerFooter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showGridLines="0" workbookViewId="0">
      <selection activeCell="A1" sqref="A1"/>
    </sheetView>
  </sheetViews>
  <sheetFormatPr defaultColWidth="9" defaultRowHeight="14.5" outlineLevelRow="2"/>
  <cols>
    <col min="1" max="1" width="7" customWidth="1"/>
    <col min="2" max="2" width="30" customWidth="1"/>
    <col min="3" max="3" width="18" customWidth="1"/>
    <col min="4" max="4" width="48" customWidth="1"/>
    <col min="5" max="5" width="34" customWidth="1"/>
    <col min="6" max="6" width="40" customWidth="1"/>
    <col min="7" max="7" width="50" customWidth="1"/>
    <col min="8" max="8" width="13" customWidth="1"/>
    <col min="9" max="9" width="14" customWidth="1"/>
    <col min="10" max="10" width="16" customWidth="1"/>
    <col min="11" max="11" width="60" customWidth="1"/>
    <col min="12" max="12" width="13" customWidth="1"/>
  </cols>
  <sheetData>
    <row r="1" ht="30" customHeight="1" spans="1:1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11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1</v>
      </c>
    </row>
    <row r="2" ht="58" customHeight="1" spans="1:12">
      <c r="A2" s="2">
        <v>1</v>
      </c>
      <c r="B2" s="3" t="s">
        <v>1089</v>
      </c>
      <c r="C2" s="3" t="s">
        <v>1090</v>
      </c>
      <c r="D2" s="3" t="s">
        <v>1091</v>
      </c>
      <c r="E2" s="3" t="s">
        <v>1092</v>
      </c>
      <c r="F2" s="3" t="s">
        <v>1093</v>
      </c>
      <c r="G2" s="3" t="s">
        <v>1094</v>
      </c>
      <c r="H2" s="3" t="s">
        <v>46</v>
      </c>
      <c r="I2" s="3" t="s">
        <v>1095</v>
      </c>
      <c r="J2" s="3" t="s">
        <v>93</v>
      </c>
      <c r="K2" s="3" t="s">
        <v>1096</v>
      </c>
      <c r="L2" s="4">
        <v>46252</v>
      </c>
    </row>
    <row r="3" ht="58" customHeight="1" spans="1:12">
      <c r="A3" s="5">
        <v>2</v>
      </c>
      <c r="B3" s="6" t="s">
        <v>1097</v>
      </c>
      <c r="C3" s="6" t="s">
        <v>582</v>
      </c>
      <c r="D3" s="6" t="s">
        <v>1098</v>
      </c>
      <c r="E3" s="6" t="s">
        <v>1099</v>
      </c>
      <c r="F3" s="6" t="s">
        <v>1100</v>
      </c>
      <c r="G3" s="6" t="s">
        <v>1101</v>
      </c>
      <c r="H3" s="6" t="s">
        <v>46</v>
      </c>
      <c r="I3" s="6" t="s">
        <v>1095</v>
      </c>
      <c r="J3" s="6" t="s">
        <v>93</v>
      </c>
      <c r="K3" s="6" t="s">
        <v>94</v>
      </c>
      <c r="L3" s="7">
        <v>46252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口径说明</vt:lpstr>
      <vt:lpstr>省份索引</vt:lpstr>
      <vt:lpstr>全国汇总</vt:lpstr>
      <vt:lpstr>北京市</vt:lpstr>
      <vt:lpstr>天津市</vt:lpstr>
      <vt:lpstr>河北省</vt:lpstr>
      <vt:lpstr>辽宁省</vt:lpstr>
      <vt:lpstr>上海市</vt:lpstr>
      <vt:lpstr>江苏省</vt:lpstr>
      <vt:lpstr>浙江省</vt:lpstr>
      <vt:lpstr>安徽省</vt:lpstr>
      <vt:lpstr>福建省</vt:lpstr>
      <vt:lpstr>江西省</vt:lpstr>
      <vt:lpstr>山东省</vt:lpstr>
      <vt:lpstr>河南省</vt:lpstr>
      <vt:lpstr>湖北省</vt:lpstr>
      <vt:lpstr>湖南省</vt:lpstr>
      <vt:lpstr>广东省</vt:lpstr>
      <vt:lpstr>海南省</vt:lpstr>
      <vt:lpstr>重庆市</vt:lpstr>
      <vt:lpstr>四川省</vt:lpstr>
      <vt:lpstr>贵州省</vt:lpstr>
      <vt:lpstr>云南省</vt:lpstr>
      <vt:lpstr>陕西省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刘恺文</cp:lastModifiedBy>
  <dcterms:created xsi:type="dcterms:W3CDTF">2026-08-18T06:34:43Z</dcterms:created>
  <dcterms:modified xsi:type="dcterms:W3CDTF">2026-08-18T08:25:08Z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1BC3B4E91F6D499F9707A71D25AFF0DA_12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